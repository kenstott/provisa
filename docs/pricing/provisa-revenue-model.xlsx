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Volumes/main/Users/kennethstott/PycharmProjects/provisa/docs/pricing/"/>
    </mc:Choice>
  </mc:AlternateContent>
  <xr:revisionPtr revIDLastSave="0" documentId="13_ncr:1_{FB9955E6-3E4E-0545-9848-3A52B232D4A5}" xr6:coauthVersionLast="47" xr6:coauthVersionMax="47" xr10:uidLastSave="{00000000-0000-0000-0000-000000000000}"/>
  <bookViews>
    <workbookView xWindow="0" yWindow="600" windowWidth="38400" windowHeight="19580" xr2:uid="{00000000-000D-0000-FFFF-FFFF00000000}"/>
  </bookViews>
  <sheets>
    <sheet name="Inputs" sheetId="1" r:id="rId1"/>
    <sheet name="Model" sheetId="2" r:id="rId2"/>
    <sheet name="Scenario - $1M Net" sheetId="3" r:id="rId3"/>
    <sheet name="On-Prem" sheetId="4" r:id="rId4"/>
    <sheet name="On-Prem - Server Class" sheetId="5" r:id="rId5"/>
    <sheet name="On-Prem - Per Transaction" sheetId="6" r:id="rId6"/>
    <sheet name="On-Prem - Per CPU-Mem" sheetId="7" r:id="rId7"/>
    <sheet name="Add-Ons" sheetId="8" r:id="rId8"/>
    <sheet name="Scenario - Mixed" sheetId="9" r:id="rId9"/>
    <sheet name="Combined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0" l="1"/>
  <c r="B5" i="10"/>
  <c r="B27" i="9"/>
  <c r="B28" i="9" s="1"/>
  <c r="B33" i="9" s="1"/>
  <c r="B22" i="9"/>
  <c r="B23" i="9" s="1"/>
  <c r="B32" i="9" s="1"/>
  <c r="B21" i="9"/>
  <c r="B14" i="9"/>
  <c r="B9" i="9"/>
  <c r="F8" i="9"/>
  <c r="I8" i="9" s="1"/>
  <c r="D8" i="9"/>
  <c r="C8" i="9"/>
  <c r="E8" i="9" s="1"/>
  <c r="F7" i="9"/>
  <c r="I7" i="9" s="1"/>
  <c r="D7" i="9"/>
  <c r="C7" i="9"/>
  <c r="E7" i="9" s="1"/>
  <c r="F6" i="9"/>
  <c r="I6" i="9" s="1"/>
  <c r="D6" i="9"/>
  <c r="C6" i="9"/>
  <c r="E6" i="9" s="1"/>
  <c r="D5" i="9"/>
  <c r="C5" i="9"/>
  <c r="E5" i="9" s="1"/>
  <c r="B5" i="8"/>
  <c r="B4" i="8"/>
  <c r="B6" i="8" s="1"/>
  <c r="B8" i="7"/>
  <c r="B5" i="7"/>
  <c r="B4" i="7"/>
  <c r="B6" i="7" s="1"/>
  <c r="B10" i="6"/>
  <c r="B5" i="6"/>
  <c r="B6" i="6" s="1"/>
  <c r="B7" i="6" s="1"/>
  <c r="B8" i="6" s="1"/>
  <c r="B4" i="6"/>
  <c r="E6" i="5"/>
  <c r="F6" i="5" s="1"/>
  <c r="D6" i="5"/>
  <c r="C6" i="5"/>
  <c r="B6" i="5"/>
  <c r="D5" i="5"/>
  <c r="C5" i="5"/>
  <c r="E5" i="5" s="1"/>
  <c r="B5" i="5"/>
  <c r="B17" i="4"/>
  <c r="B18" i="4" s="1"/>
  <c r="B11" i="4"/>
  <c r="B6" i="4"/>
  <c r="B5" i="4"/>
  <c r="B7" i="4" s="1"/>
  <c r="B14" i="3"/>
  <c r="B9" i="3"/>
  <c r="F8" i="3"/>
  <c r="I8" i="3" s="1"/>
  <c r="D8" i="3"/>
  <c r="C8" i="3"/>
  <c r="E8" i="3" s="1"/>
  <c r="F7" i="3"/>
  <c r="I7" i="3" s="1"/>
  <c r="D7" i="3"/>
  <c r="C7" i="3"/>
  <c r="E7" i="3" s="1"/>
  <c r="F6" i="3"/>
  <c r="I6" i="3" s="1"/>
  <c r="D6" i="3"/>
  <c r="C6" i="3"/>
  <c r="E6" i="3" s="1"/>
  <c r="D5" i="3"/>
  <c r="C5" i="3"/>
  <c r="E5" i="3" s="1"/>
  <c r="B14" i="2"/>
  <c r="B9" i="2"/>
  <c r="F8" i="2"/>
  <c r="I8" i="2" s="1"/>
  <c r="E8" i="2"/>
  <c r="D8" i="2"/>
  <c r="C8" i="2"/>
  <c r="B8" i="2"/>
  <c r="F7" i="2"/>
  <c r="D7" i="2"/>
  <c r="C7" i="2"/>
  <c r="E7" i="2" s="1"/>
  <c r="G7" i="2" s="1"/>
  <c r="B7" i="2"/>
  <c r="F6" i="2"/>
  <c r="D6" i="2"/>
  <c r="C6" i="2"/>
  <c r="E6" i="2" s="1"/>
  <c r="G6" i="2" s="1"/>
  <c r="B6" i="2"/>
  <c r="D5" i="2"/>
  <c r="C5" i="2"/>
  <c r="E5" i="2" s="1"/>
  <c r="B5" i="2"/>
  <c r="B30" i="1"/>
  <c r="B31" i="1" s="1"/>
  <c r="G8" i="9" l="1"/>
  <c r="H8" i="9"/>
  <c r="G7" i="9"/>
  <c r="H7" i="9"/>
  <c r="G6" i="9"/>
  <c r="H6" i="9"/>
  <c r="H5" i="9"/>
  <c r="H9" i="9" s="1"/>
  <c r="B12" i="9" s="1"/>
  <c r="B15" i="9" s="1"/>
  <c r="G5" i="9"/>
  <c r="B7" i="8"/>
  <c r="B8" i="8" s="1"/>
  <c r="B8" i="10" s="1"/>
  <c r="B19" i="4"/>
  <c r="B20" i="4" s="1"/>
  <c r="B8" i="4"/>
  <c r="H8" i="3"/>
  <c r="G8" i="3"/>
  <c r="G7" i="3"/>
  <c r="H7" i="3"/>
  <c r="G6" i="3"/>
  <c r="H6" i="3"/>
  <c r="H5" i="3"/>
  <c r="H8" i="2"/>
  <c r="G8" i="2"/>
  <c r="I7" i="2"/>
  <c r="H7" i="2"/>
  <c r="I6" i="2"/>
  <c r="H6" i="2"/>
  <c r="H5" i="2"/>
  <c r="H9" i="2" s="1"/>
  <c r="B12" i="2" s="1"/>
  <c r="F5" i="2"/>
  <c r="F5" i="9"/>
  <c r="I5" i="9" s="1"/>
  <c r="I9" i="9" s="1"/>
  <c r="B13" i="9" s="1"/>
  <c r="F5" i="3"/>
  <c r="B11" i="6"/>
  <c r="F5" i="5"/>
  <c r="F7" i="5" s="1"/>
  <c r="B12" i="4"/>
  <c r="B9" i="7"/>
  <c r="B6" i="10" s="1"/>
  <c r="B16" i="9" l="1"/>
  <c r="B31" i="9" s="1"/>
  <c r="B34" i="9" s="1"/>
  <c r="B17" i="9"/>
  <c r="H9" i="3"/>
  <c r="B12" i="3" s="1"/>
  <c r="B15" i="3" s="1"/>
  <c r="B13" i="4"/>
  <c r="B14" i="4" s="1"/>
  <c r="B9" i="4"/>
  <c r="G5" i="2"/>
  <c r="I5" i="2"/>
  <c r="I9" i="2" s="1"/>
  <c r="B13" i="2" s="1"/>
  <c r="B15" i="2" s="1"/>
  <c r="I5" i="3"/>
  <c r="I9" i="3" s="1"/>
  <c r="B13" i="3" s="1"/>
  <c r="G5" i="3"/>
  <c r="B17" i="3" l="1"/>
  <c r="B16" i="3"/>
  <c r="B4" i="10" s="1"/>
  <c r="B9" i="10" s="1"/>
  <c r="B16" i="2"/>
  <c r="B17" i="2"/>
</calcChain>
</file>

<file path=xl/sharedStrings.xml><?xml version="1.0" encoding="utf-8"?>
<sst xmlns="http://schemas.openxmlformats.org/spreadsheetml/2006/main" count="222" uniqueCount="161">
  <si>
    <t>Provisa Net-Revenue Model — Inputs (yellow = adjustable knob)</t>
  </si>
  <si>
    <t>Rates are live Lemon Squeezy / GCP prices as of 2026-09-16 (see docs/pricing/pricing-plan.md). Usage and customer counts are illustrative assumptions.</t>
  </si>
  <si>
    <t>Rate card</t>
  </si>
  <si>
    <t>Tier</t>
  </si>
  <si>
    <t>Base fee/mo</t>
  </si>
  <si>
    <t>Included active-hrs</t>
  </si>
  <si>
    <t>Overage $/hr</t>
  </si>
  <si>
    <t>Included GB</t>
  </si>
  <si>
    <t>Egress overage $/GB</t>
  </si>
  <si>
    <t>Starter</t>
  </si>
  <si>
    <t>Pro S</t>
  </si>
  <si>
    <t>Pro M</t>
  </si>
  <si>
    <t>Pro L</t>
  </si>
  <si>
    <t>Usage &amp; customer mix</t>
  </si>
  <si>
    <t>Customers (count)</t>
  </si>
  <si>
    <t>Active-hrs used/mo</t>
  </si>
  <si>
    <t>Egress used/mo (GB)</t>
  </si>
  <si>
    <t>Compute cost basis</t>
  </si>
  <si>
    <t>GKE Autopilot: $/vCPU-hr</t>
  </si>
  <si>
    <t>GKE Autopilot: $/GiB-hr</t>
  </si>
  <si>
    <t>Shared shard pod: vCPU</t>
  </si>
  <si>
    <t>Shared shard pod: GiB</t>
  </si>
  <si>
    <t>Assumed concurrent Starter orgs per shard-hour</t>
  </si>
  <si>
    <t>&lt; biggest unverified lever in the model</t>
  </si>
  <si>
    <t>Pro S compute: n2-highmem-4 $/hr (on-demand)</t>
  </si>
  <si>
    <t>Pro M compute: n2-highmem-8 $/hr (on-demand)</t>
  </si>
  <si>
    <t>Pro L compute: n2-highmem-16 $/hr (on-demand)</t>
  </si>
  <si>
    <t>Provisa's own egress cost $/GB (GCP-&gt;internet)</t>
  </si>
  <si>
    <t>Fixed floor $/mo (Cloud SQL db-f1-micro etc.)</t>
  </si>
  <si>
    <t>Derived: shared shard $/hr</t>
  </si>
  <si>
    <t>Derived: shared compute $/hr per Starter org</t>
  </si>
  <si>
    <t>On-prem licensing (negotiated, placeholder rates; enforcement = contract + withheld support, not code)</t>
  </si>
  <si>
    <t>Free-tier scope: contractual node/vCPU cap (self-attested, unenforced)</t>
  </si>
  <si>
    <t>&lt; no runtime gate exists (library); this is a license-terms limit only — the lever is no support/SLA/updates, not a block</t>
  </si>
  <si>
    <t>Free-tier on-prem installs (informational only, $0 rev)</t>
  </si>
  <si>
    <t>Support-only SKU: $/yr (no license; next-business-day ack, no resolution SLA)</t>
  </si>
  <si>
    <t>Support-only SKU: delivery cost %</t>
  </si>
  <si>
    <t>&lt; placeholder; labor-heavy relative to the $10K ticket</t>
  </si>
  <si>
    <t>Support-only SKU: subscribers (count)</t>
  </si>
  <si>
    <t>Coordinator node license $/yr</t>
  </si>
  <si>
    <t>Worker node license $/yr</t>
  </si>
  <si>
    <t>Coordinator nodes per deal</t>
  </si>
  <si>
    <t>Worker nodes per deal (typical)</t>
  </si>
  <si>
    <t>Delivery/support cost, % of license revenue</t>
  </si>
  <si>
    <t>&lt; also unverified; placeholder for eng/support labor</t>
  </si>
  <si>
    <t>On-prem deals (count)</t>
  </si>
  <si>
    <t>Alt. model: per-server-class licensing (2 classes, Oracle precedent)</t>
  </si>
  <si>
    <t>Base rate $/core/yr</t>
  </si>
  <si>
    <t>Small class (commodity x86/ARM): core factor</t>
  </si>
  <si>
    <t>Small class: cores/node</t>
  </si>
  <si>
    <t>Small class: nodes/deal</t>
  </si>
  <si>
    <t>Large class (everything else): core factor</t>
  </si>
  <si>
    <t>Large class: cores/node</t>
  </si>
  <si>
    <t>Large class: nodes/deal</t>
  </si>
  <si>
    <t>Alt. model: per-transaction licensing (hard to enforce)</t>
  </si>
  <si>
    <t>&lt; not host-bindable; kept for comparison, not recommended</t>
  </si>
  <si>
    <t>Rate $/million transactions</t>
  </si>
  <si>
    <t>Included transactions/mo (millions)</t>
  </si>
  <si>
    <t>Base platform fee $/mo (access/support floor)</t>
  </si>
  <si>
    <t>Transactions used/mo (millions)</t>
  </si>
  <si>
    <t>Deals on this model (count)</t>
  </si>
  <si>
    <t>Alt. model: low base + per-vCPU licensing (recommended; contractual, not enforced)</t>
  </si>
  <si>
    <t>Base license $/yr (includes floor below)</t>
  </si>
  <si>
    <t>Included vCPUs</t>
  </si>
  <si>
    <t>GiB mem included per vCPU (bundled, not billed)</t>
  </si>
  <si>
    <t>$/extra vCPU/yr</t>
  </si>
  <si>
    <t>Deployed vCPUs (this deal)</t>
  </si>
  <si>
    <t>Add-on SKUs (placeholder rates)</t>
  </si>
  <si>
    <t>Premium connector (Splunk/SharePoint/Files): $/yr</t>
  </si>
  <si>
    <t>Premium connector: attach count (connector-orgs, not orgs)</t>
  </si>
  <si>
    <t>LLM validated-reasoning add-on: $/org/mo</t>
  </si>
  <si>
    <t>LLM validated-reasoning: attach count (orgs)</t>
  </si>
  <si>
    <t>Add-on delivery cost, % of add-on revenue</t>
  </si>
  <si>
    <t>&lt; placeholder; LLM inference cost dominates here, unmodeled</t>
  </si>
  <si>
    <t>Provisa Net-Revenue Projection — Model</t>
  </si>
  <si>
    <t>Customer counts come from Inputs!B. Change a yellow cell on Inputs to see outcomes recompute here.</t>
  </si>
  <si>
    <t>Customers</t>
  </si>
  <si>
    <t>Overage hrs/org</t>
  </si>
  <si>
    <t>Overage GB/org</t>
  </si>
  <si>
    <t>Revenue/org</t>
  </si>
  <si>
    <t>Cost/org</t>
  </si>
  <si>
    <t>Margin/org</t>
  </si>
  <si>
    <t>Fleet revenue</t>
  </si>
  <si>
    <t>Fleet cost</t>
  </si>
  <si>
    <t>Fleet total</t>
  </si>
  <si>
    <t>Summary</t>
  </si>
  <si>
    <t>Total revenue</t>
  </si>
  <si>
    <t>Total direct cost</t>
  </si>
  <si>
    <t>Fixed floor</t>
  </si>
  <si>
    <t>Net (monthly)</t>
  </si>
  <si>
    <t>Net (annualized)</t>
  </si>
  <si>
    <t>Net margin %</t>
  </si>
  <si>
    <t>Scenario: customer mix to clear $1M/yr net profit</t>
  </si>
  <si>
    <t>Same rate card / per-org usage / compute cost as Inputs, but its own customer-count knobs (yellow, this sheet only) — the base mix scaled ~15.8x. Edit the yellow counts to explore other paths to $1M.</t>
  </si>
  <si>
    <t>On-Prem Licensing — Revenue Model</t>
  </si>
  <si>
    <t>All rates are negotiated placeholders (Inputs, On-prem licensing section) — not a published price list.</t>
  </si>
  <si>
    <t>License revenue per deal</t>
  </si>
  <si>
    <t>Coordinator license/deal</t>
  </si>
  <si>
    <t>Worker license/deal</t>
  </si>
  <si>
    <t>Total license revenue/deal</t>
  </si>
  <si>
    <t>Delivery/support cost/deal</t>
  </si>
  <si>
    <t>Margin/deal</t>
  </si>
  <si>
    <t>Deal count (from Inputs)</t>
  </si>
  <si>
    <t>Total revenue/yr</t>
  </si>
  <si>
    <t>Total cost/yr</t>
  </si>
  <si>
    <t>Net on-prem/yr</t>
  </si>
  <si>
    <t>Support-only SKU (free-tier upsell)</t>
  </si>
  <si>
    <t>Subscribers (from Inputs)</t>
  </si>
  <si>
    <t>Revenue/yr</t>
  </si>
  <si>
    <t>Cost/yr</t>
  </si>
  <si>
    <t>Net/yr</t>
  </si>
  <si>
    <t>On-Prem Licensing — Per-Server-Class Model</t>
  </si>
  <si>
    <t>Same node deploys anywhere; licence cost scales with the class of hardware it runs on (Oracle's actual 2-tier core-factor precedent: 0.5x commodity x86/ARM, 1.0x everything else). Rates are placeholders; scope is contractual, not code-enforced (see Inputs).</t>
  </si>
  <si>
    <t>Class</t>
  </si>
  <si>
    <t>Core factor</t>
  </si>
  <si>
    <t>Cores/node</t>
  </si>
  <si>
    <t>Nodes/deal</t>
  </si>
  <si>
    <t>$/node/yr</t>
  </si>
  <si>
    <t>Revenue/deal</t>
  </si>
  <si>
    <t>Small</t>
  </si>
  <si>
    <t>Large</t>
  </si>
  <si>
    <t>Total/deal</t>
  </si>
  <si>
    <t>On-Prem Licensing — Per-Transaction Model</t>
  </si>
  <si>
    <t>API-gateway pay-as-you-go precedent (~$20-100/M calls). Rates are placeholders.</t>
  </si>
  <si>
    <t>Included transactions/mo (M)</t>
  </si>
  <si>
    <t>Transactions used/mo (M)</t>
  </si>
  <si>
    <t>Overage transactions/mo (M)</t>
  </si>
  <si>
    <t>Revenue/deal/mo</t>
  </si>
  <si>
    <t>Revenue/deal/yr</t>
  </si>
  <si>
    <t>Deals on this model</t>
  </si>
  <si>
    <t>On-Prem Licensing — Low Base + Per-vCPU Model</t>
  </si>
  <si>
    <t>$50K base gets a small footprint through procurement fast; overage meters vCPU only — memory is bundled at a fixed ratio, not billed separately. Scope clause is contractual (audit rights), not a runtime gate: it's a library, so nothing here is code-enforced.</t>
  </si>
  <si>
    <t>Extra vCPUs (this deal)</t>
  </si>
  <si>
    <t>Bundled GiB mem (informational, not billed)</t>
  </si>
  <si>
    <t>Add-On SKUs — Premium Connectors + LLM Reasoning</t>
  </si>
  <si>
    <t>Sold on top of either SaaS or on-prem. Rates are placeholders — no comparable-vendor research done on these yet.</t>
  </si>
  <si>
    <t>Premium connectors: revenue/yr</t>
  </si>
  <si>
    <t>LLM validated-reasoning: revenue/yr</t>
  </si>
  <si>
    <t>Total add-on revenue/yr</t>
  </si>
  <si>
    <t>Delivery cost/yr</t>
  </si>
  <si>
    <t>Net add-on/yr</t>
  </si>
  <si>
    <t>Scenario: mixed SaaS + on-prem path to ~$1M net</t>
  </si>
  <si>
    <t>SaaS counts below are this sheet's own knobs (half the pure-SaaS $1M mix). On-prem deal counts further down are also this sheet's own knobs — flat coordinator/worker plus the recommended per-CPU/mem model, both priced from the same Inputs rates.</t>
  </si>
  <si>
    <t>On-prem: flat coordinator/worker</t>
  </si>
  <si>
    <t>Deals (this scenario)</t>
  </si>
  <si>
    <t>Margin/deal (after support %)</t>
  </si>
  <si>
    <t>On-prem flat: net/yr</t>
  </si>
  <si>
    <t>On-prem: per-CPU/mem (recommended)</t>
  </si>
  <si>
    <t>On-prem per-CPU/mem: revenue/yr (no cost model yet)</t>
  </si>
  <si>
    <t>Combined summary</t>
  </si>
  <si>
    <t>SaaS net/yr</t>
  </si>
  <si>
    <t>On-prem flat net/yr</t>
  </si>
  <si>
    <t>On-prem per-CPU/mem revenue/yr</t>
  </si>
  <si>
    <t>Combined net/yr</t>
  </si>
  <si>
    <t>Combined Net — SaaS ($1M scenario sheet) + On-Prem</t>
  </si>
  <si>
    <t>Turn deal counts up on Inputs (flat coordinator/worker, or the recommended per-CPU/mem model) to see how licensing reduces the SaaS org count needed.</t>
  </si>
  <si>
    <t>SaaS net/yr (Scenario - $1M Net sheet)</t>
  </si>
  <si>
    <t>On-prem net/yr (flat coordinator/worker)</t>
  </si>
  <si>
    <t>On-prem revenue/yr (recommended: per-CPU/mem, no cost model yet)</t>
  </si>
  <si>
    <t>Support-only SKU net/yr (free-tier upsell)</t>
  </si>
  <si>
    <t>Add-on SKUs net/yr (connectors + LLM reasoning)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</si>
</sst>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&quot;$&quot;#,##0.00"/>
    <numFmt numFmtId="166" formatCode="0.0%"/>
    <numFmt numFmtId="167" formatCode="0.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i/>
      <sz val="9"/>
      <color rgb="FF666666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164" fontId="0" fillId="3" borderId="1" xfId="0" applyNumberFormat="1" applyFill="1" applyBorder="1"/>
    <xf numFmtId="1" fontId="0" fillId="3" borderId="1" xfId="0" applyNumberFormat="1" applyFill="1" applyBorder="1"/>
    <xf numFmtId="165" fontId="0" fillId="3" borderId="1" xfId="0" applyNumberFormat="1" applyFill="1" applyBorder="1"/>
    <xf numFmtId="165" fontId="0" fillId="0" borderId="1" xfId="0" applyNumberFormat="1" applyBorder="1"/>
    <xf numFmtId="166" fontId="0" fillId="3" borderId="1" xfId="0" applyNumberFormat="1" applyFill="1" applyBorder="1"/>
    <xf numFmtId="2" fontId="0" fillId="3" borderId="1" xfId="0" applyNumberFormat="1" applyFill="1" applyBorder="1"/>
    <xf numFmtId="1" fontId="0" fillId="0" borderId="1" xfId="0" applyNumberFormat="1" applyBorder="1"/>
    <xf numFmtId="167" fontId="0" fillId="0" borderId="1" xfId="0" applyNumberFormat="1" applyBorder="1"/>
    <xf numFmtId="1" fontId="3" fillId="0" borderId="1" xfId="0" applyNumberFormat="1" applyFont="1" applyBorder="1"/>
    <xf numFmtId="165" fontId="3" fillId="0" borderId="1" xfId="0" applyNumberFormat="1" applyFont="1" applyBorder="1"/>
    <xf numFmtId="166" fontId="3" fillId="0" borderId="1" xfId="0" applyNumberFormat="1" applyFont="1" applyBorder="1"/>
    <xf numFmtId="2" fontId="0" fillId="0" borderId="1" xfId="0" applyNumberFormat="1" applyBorder="1"/>
    <xf numFmtId="0" fontId="2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e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m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"/>
  <sheetViews>
    <sheetView showGridLines="0" tabSelected="1" workbookViewId="0"/>
  </sheetViews>
  <sheetFormatPr baseColWidth="10" defaultColWidth="8.83203125" defaultRowHeight="15" x14ac:dyDescent="0.2"/>
  <cols>
    <col min="1" max="1" width="83" bestFit="1" customWidth="1"/>
    <col min="2" max="6" width="16" customWidth="1"/>
  </cols>
  <sheetData>
    <row r="1" spans="1:6" ht="19" x14ac:dyDescent="0.25">
      <c r="A1" s="1" t="s">
        <v>0</v>
      </c>
    </row>
    <row r="2" spans="1:6" x14ac:dyDescent="0.2">
      <c r="A2" s="17" t="s">
        <v>1</v>
      </c>
      <c r="B2" s="18"/>
      <c r="C2" s="18"/>
      <c r="D2" s="18"/>
      <c r="E2" s="18"/>
      <c r="F2" s="18"/>
    </row>
    <row r="4" spans="1:6" x14ac:dyDescent="0.2">
      <c r="A4" s="3" t="s">
        <v>2</v>
      </c>
    </row>
    <row r="5" spans="1:6" ht="32" x14ac:dyDescent="0.2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x14ac:dyDescent="0.2">
      <c r="A6" t="s">
        <v>9</v>
      </c>
      <c r="B6" s="5">
        <v>25</v>
      </c>
      <c r="C6" s="6">
        <v>19</v>
      </c>
      <c r="D6" s="7">
        <v>1.3</v>
      </c>
      <c r="E6" s="6">
        <v>25</v>
      </c>
      <c r="F6" s="7">
        <v>0.48</v>
      </c>
    </row>
    <row r="7" spans="1:6" x14ac:dyDescent="0.2">
      <c r="A7" t="s">
        <v>10</v>
      </c>
      <c r="B7" s="5">
        <v>99</v>
      </c>
      <c r="C7" s="6">
        <v>66</v>
      </c>
      <c r="D7" s="7">
        <v>1.5</v>
      </c>
      <c r="E7" s="6">
        <v>50</v>
      </c>
      <c r="F7" s="7">
        <v>0.48</v>
      </c>
    </row>
    <row r="8" spans="1:6" x14ac:dyDescent="0.2">
      <c r="A8" t="s">
        <v>11</v>
      </c>
      <c r="B8" s="5">
        <v>199</v>
      </c>
      <c r="C8" s="6">
        <v>72</v>
      </c>
      <c r="D8" s="7">
        <v>2.75</v>
      </c>
      <c r="E8" s="6">
        <v>100</v>
      </c>
      <c r="F8" s="7">
        <v>0.48</v>
      </c>
    </row>
    <row r="9" spans="1:6" x14ac:dyDescent="0.2">
      <c r="A9" t="s">
        <v>12</v>
      </c>
      <c r="B9" s="5">
        <v>399</v>
      </c>
      <c r="C9" s="6">
        <v>72</v>
      </c>
      <c r="D9" s="7">
        <v>5.5</v>
      </c>
      <c r="E9" s="6">
        <v>200</v>
      </c>
      <c r="F9" s="7">
        <v>0.48</v>
      </c>
    </row>
    <row r="11" spans="1:6" x14ac:dyDescent="0.2">
      <c r="A11" s="3" t="s">
        <v>13</v>
      </c>
    </row>
    <row r="12" spans="1:6" ht="32" x14ac:dyDescent="0.2">
      <c r="A12" s="4" t="s">
        <v>3</v>
      </c>
      <c r="B12" s="4" t="s">
        <v>14</v>
      </c>
      <c r="C12" s="4" t="s">
        <v>15</v>
      </c>
      <c r="D12" s="4" t="s">
        <v>16</v>
      </c>
    </row>
    <row r="13" spans="1:6" x14ac:dyDescent="0.2">
      <c r="A13" t="s">
        <v>9</v>
      </c>
      <c r="B13" s="6">
        <v>30</v>
      </c>
      <c r="C13" s="6">
        <v>40</v>
      </c>
      <c r="D13" s="6">
        <v>15</v>
      </c>
    </row>
    <row r="14" spans="1:6" x14ac:dyDescent="0.2">
      <c r="A14" t="s">
        <v>10</v>
      </c>
      <c r="B14" s="6">
        <v>12</v>
      </c>
      <c r="C14" s="6">
        <v>90</v>
      </c>
      <c r="D14" s="6">
        <v>60</v>
      </c>
    </row>
    <row r="15" spans="1:6" x14ac:dyDescent="0.2">
      <c r="A15" t="s">
        <v>11</v>
      </c>
      <c r="B15" s="6">
        <v>5</v>
      </c>
      <c r="C15" s="6">
        <v>100</v>
      </c>
      <c r="D15" s="6">
        <v>130</v>
      </c>
    </row>
    <row r="16" spans="1:6" x14ac:dyDescent="0.2">
      <c r="A16" t="s">
        <v>12</v>
      </c>
      <c r="B16" s="6">
        <v>3</v>
      </c>
      <c r="C16" s="6">
        <v>110</v>
      </c>
      <c r="D16" s="6">
        <v>250</v>
      </c>
    </row>
    <row r="18" spans="1:3" x14ac:dyDescent="0.2">
      <c r="A18" s="3" t="s">
        <v>17</v>
      </c>
    </row>
    <row r="19" spans="1:3" x14ac:dyDescent="0.2">
      <c r="A19" t="s">
        <v>18</v>
      </c>
      <c r="B19" s="7">
        <v>4.4499999999999998E-2</v>
      </c>
    </row>
    <row r="20" spans="1:3" x14ac:dyDescent="0.2">
      <c r="A20" t="s">
        <v>19</v>
      </c>
      <c r="B20" s="7">
        <v>4.8999999999999998E-3</v>
      </c>
    </row>
    <row r="21" spans="1:3" x14ac:dyDescent="0.2">
      <c r="A21" t="s">
        <v>20</v>
      </c>
      <c r="B21" s="6">
        <v>6</v>
      </c>
    </row>
    <row r="22" spans="1:3" x14ac:dyDescent="0.2">
      <c r="A22" t="s">
        <v>21</v>
      </c>
      <c r="B22" s="6">
        <v>24</v>
      </c>
    </row>
    <row r="23" spans="1:3" x14ac:dyDescent="0.2">
      <c r="A23" t="s">
        <v>22</v>
      </c>
      <c r="B23" s="6">
        <v>4</v>
      </c>
      <c r="C23" s="2" t="s">
        <v>23</v>
      </c>
    </row>
    <row r="24" spans="1:3" x14ac:dyDescent="0.2">
      <c r="A24" t="s">
        <v>24</v>
      </c>
      <c r="B24" s="7">
        <v>0.26</v>
      </c>
    </row>
    <row r="25" spans="1:3" x14ac:dyDescent="0.2">
      <c r="A25" t="s">
        <v>25</v>
      </c>
      <c r="B25" s="7">
        <v>0.52</v>
      </c>
    </row>
    <row r="26" spans="1:3" x14ac:dyDescent="0.2">
      <c r="A26" t="s">
        <v>26</v>
      </c>
      <c r="B26" s="7">
        <v>1.05</v>
      </c>
    </row>
    <row r="27" spans="1:3" x14ac:dyDescent="0.2">
      <c r="A27" t="s">
        <v>27</v>
      </c>
      <c r="B27" s="7">
        <v>0.12</v>
      </c>
    </row>
    <row r="28" spans="1:3" x14ac:dyDescent="0.2">
      <c r="A28" t="s">
        <v>28</v>
      </c>
      <c r="B28" s="5">
        <v>9</v>
      </c>
    </row>
    <row r="30" spans="1:3" x14ac:dyDescent="0.2">
      <c r="A30" s="3" t="s">
        <v>29</v>
      </c>
      <c r="B30" s="8">
        <f>B21*B19+B22*B20</f>
        <v>0.3846</v>
      </c>
    </row>
    <row r="31" spans="1:3" x14ac:dyDescent="0.2">
      <c r="A31" s="3" t="s">
        <v>30</v>
      </c>
      <c r="B31" s="8">
        <f>B30/B23</f>
        <v>9.6149999999999999E-2</v>
      </c>
    </row>
    <row r="33" spans="1:3" x14ac:dyDescent="0.2">
      <c r="A33" s="3" t="s">
        <v>31</v>
      </c>
    </row>
    <row r="34" spans="1:3" x14ac:dyDescent="0.2">
      <c r="A34" t="s">
        <v>32</v>
      </c>
      <c r="B34" s="6">
        <v>8</v>
      </c>
      <c r="C34" s="2" t="s">
        <v>33</v>
      </c>
    </row>
    <row r="35" spans="1:3" x14ac:dyDescent="0.2">
      <c r="A35" t="s">
        <v>34</v>
      </c>
      <c r="B35" s="6">
        <v>0</v>
      </c>
    </row>
    <row r="36" spans="1:3" x14ac:dyDescent="0.2">
      <c r="A36" t="s">
        <v>35</v>
      </c>
      <c r="B36" s="5">
        <v>10000</v>
      </c>
    </row>
    <row r="37" spans="1:3" x14ac:dyDescent="0.2">
      <c r="A37" t="s">
        <v>36</v>
      </c>
      <c r="B37" s="9">
        <v>0.4</v>
      </c>
      <c r="C37" s="2" t="s">
        <v>37</v>
      </c>
    </row>
    <row r="38" spans="1:3" x14ac:dyDescent="0.2">
      <c r="A38" t="s">
        <v>38</v>
      </c>
      <c r="B38" s="6">
        <v>0</v>
      </c>
    </row>
    <row r="39" spans="1:3" x14ac:dyDescent="0.2">
      <c r="A39" t="s">
        <v>39</v>
      </c>
      <c r="B39" s="5">
        <v>100000</v>
      </c>
    </row>
    <row r="40" spans="1:3" x14ac:dyDescent="0.2">
      <c r="A40" t="s">
        <v>40</v>
      </c>
      <c r="B40" s="5">
        <v>50000</v>
      </c>
    </row>
    <row r="41" spans="1:3" x14ac:dyDescent="0.2">
      <c r="A41" t="s">
        <v>41</v>
      </c>
      <c r="B41" s="6">
        <v>1</v>
      </c>
    </row>
    <row r="42" spans="1:3" x14ac:dyDescent="0.2">
      <c r="A42" t="s">
        <v>42</v>
      </c>
      <c r="B42" s="6">
        <v>3</v>
      </c>
    </row>
    <row r="43" spans="1:3" x14ac:dyDescent="0.2">
      <c r="A43" t="s">
        <v>43</v>
      </c>
      <c r="B43" s="9">
        <v>0.2</v>
      </c>
      <c r="C43" s="2" t="s">
        <v>44</v>
      </c>
    </row>
    <row r="44" spans="1:3" x14ac:dyDescent="0.2">
      <c r="A44" t="s">
        <v>45</v>
      </c>
      <c r="B44" s="6">
        <v>0</v>
      </c>
    </row>
    <row r="46" spans="1:3" x14ac:dyDescent="0.2">
      <c r="A46" s="3" t="s">
        <v>46</v>
      </c>
    </row>
    <row r="47" spans="1:3" x14ac:dyDescent="0.2">
      <c r="A47" t="s">
        <v>47</v>
      </c>
      <c r="B47" s="5">
        <v>3000</v>
      </c>
    </row>
    <row r="48" spans="1:3" x14ac:dyDescent="0.2">
      <c r="A48" t="s">
        <v>48</v>
      </c>
      <c r="B48" s="10">
        <v>0.5</v>
      </c>
    </row>
    <row r="49" spans="1:3" x14ac:dyDescent="0.2">
      <c r="A49" t="s">
        <v>49</v>
      </c>
      <c r="B49" s="6">
        <v>8</v>
      </c>
    </row>
    <row r="50" spans="1:3" x14ac:dyDescent="0.2">
      <c r="A50" t="s">
        <v>50</v>
      </c>
      <c r="B50" s="6">
        <v>2</v>
      </c>
    </row>
    <row r="51" spans="1:3" x14ac:dyDescent="0.2">
      <c r="A51" t="s">
        <v>51</v>
      </c>
      <c r="B51" s="10">
        <v>1</v>
      </c>
    </row>
    <row r="52" spans="1:3" x14ac:dyDescent="0.2">
      <c r="A52" t="s">
        <v>52</v>
      </c>
      <c r="B52" s="6">
        <v>32</v>
      </c>
    </row>
    <row r="53" spans="1:3" x14ac:dyDescent="0.2">
      <c r="A53" t="s">
        <v>53</v>
      </c>
      <c r="B53" s="6">
        <v>0</v>
      </c>
    </row>
    <row r="55" spans="1:3" x14ac:dyDescent="0.2">
      <c r="A55" s="3" t="s">
        <v>54</v>
      </c>
      <c r="C55" s="2" t="s">
        <v>55</v>
      </c>
    </row>
    <row r="56" spans="1:3" x14ac:dyDescent="0.2">
      <c r="A56" t="s">
        <v>56</v>
      </c>
      <c r="B56" s="5">
        <v>40</v>
      </c>
    </row>
    <row r="57" spans="1:3" x14ac:dyDescent="0.2">
      <c r="A57" t="s">
        <v>57</v>
      </c>
      <c r="B57" s="6">
        <v>50</v>
      </c>
    </row>
    <row r="58" spans="1:3" x14ac:dyDescent="0.2">
      <c r="A58" t="s">
        <v>58</v>
      </c>
      <c r="B58" s="5">
        <v>3000</v>
      </c>
    </row>
    <row r="59" spans="1:3" x14ac:dyDescent="0.2">
      <c r="A59" t="s">
        <v>59</v>
      </c>
      <c r="B59" s="6">
        <v>80</v>
      </c>
    </row>
    <row r="60" spans="1:3" x14ac:dyDescent="0.2">
      <c r="A60" t="s">
        <v>60</v>
      </c>
      <c r="B60" s="6">
        <v>0</v>
      </c>
    </row>
    <row r="62" spans="1:3" x14ac:dyDescent="0.2">
      <c r="A62" s="3" t="s">
        <v>61</v>
      </c>
    </row>
    <row r="63" spans="1:3" x14ac:dyDescent="0.2">
      <c r="A63" t="s">
        <v>62</v>
      </c>
      <c r="B63" s="5">
        <v>50000</v>
      </c>
    </row>
    <row r="64" spans="1:3" x14ac:dyDescent="0.2">
      <c r="A64" t="s">
        <v>63</v>
      </c>
      <c r="B64" s="6">
        <v>16</v>
      </c>
    </row>
    <row r="65" spans="1:3" x14ac:dyDescent="0.2">
      <c r="A65" t="s">
        <v>64</v>
      </c>
      <c r="B65" s="6">
        <v>4</v>
      </c>
    </row>
    <row r="66" spans="1:3" x14ac:dyDescent="0.2">
      <c r="A66" t="s">
        <v>65</v>
      </c>
      <c r="B66" s="5">
        <v>2500</v>
      </c>
    </row>
    <row r="67" spans="1:3" x14ac:dyDescent="0.2">
      <c r="A67" t="s">
        <v>66</v>
      </c>
      <c r="B67" s="6">
        <v>48</v>
      </c>
    </row>
    <row r="68" spans="1:3" x14ac:dyDescent="0.2">
      <c r="A68" t="s">
        <v>60</v>
      </c>
      <c r="B68" s="6">
        <v>0</v>
      </c>
    </row>
    <row r="70" spans="1:3" x14ac:dyDescent="0.2">
      <c r="A70" s="3" t="s">
        <v>67</v>
      </c>
    </row>
    <row r="71" spans="1:3" x14ac:dyDescent="0.2">
      <c r="A71" t="s">
        <v>68</v>
      </c>
      <c r="B71" s="5">
        <v>6000</v>
      </c>
    </row>
    <row r="72" spans="1:3" x14ac:dyDescent="0.2">
      <c r="A72" t="s">
        <v>69</v>
      </c>
      <c r="B72" s="6">
        <v>0</v>
      </c>
    </row>
    <row r="73" spans="1:3" x14ac:dyDescent="0.2">
      <c r="A73" t="s">
        <v>70</v>
      </c>
      <c r="B73" s="5">
        <v>400</v>
      </c>
    </row>
    <row r="74" spans="1:3" x14ac:dyDescent="0.2">
      <c r="A74" t="s">
        <v>71</v>
      </c>
      <c r="B74" s="6">
        <v>0</v>
      </c>
    </row>
    <row r="75" spans="1:3" x14ac:dyDescent="0.2">
      <c r="A75" t="s">
        <v>72</v>
      </c>
      <c r="B75" s="9">
        <v>0.3</v>
      </c>
      <c r="C75" s="2" t="s">
        <v>73</v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showGridLines="0" workbookViewId="0">
      <selection activeCell="A5" sqref="A5"/>
    </sheetView>
  </sheetViews>
  <sheetFormatPr baseColWidth="10" defaultColWidth="8.83203125" defaultRowHeight="15" x14ac:dyDescent="0.2"/>
  <cols>
    <col min="1" max="1" width="42.33203125" bestFit="1" customWidth="1"/>
    <col min="2" max="9" width="15" customWidth="1"/>
  </cols>
  <sheetData>
    <row r="1" spans="1:9" ht="19" x14ac:dyDescent="0.25">
      <c r="A1" s="1" t="s">
        <v>74</v>
      </c>
    </row>
    <row r="2" spans="1:9" x14ac:dyDescent="0.2">
      <c r="A2" s="17" t="s">
        <v>75</v>
      </c>
      <c r="B2" s="18"/>
      <c r="C2" s="18"/>
      <c r="D2" s="18"/>
      <c r="E2" s="18"/>
      <c r="F2" s="18"/>
      <c r="G2" s="18"/>
      <c r="H2" s="18"/>
      <c r="I2" s="18"/>
    </row>
    <row r="4" spans="1:9" ht="16" x14ac:dyDescent="0.2">
      <c r="A4" s="4" t="s">
        <v>3</v>
      </c>
      <c r="B4" s="4" t="s">
        <v>76</v>
      </c>
      <c r="C4" s="4" t="s">
        <v>77</v>
      </c>
      <c r="D4" s="4" t="s">
        <v>78</v>
      </c>
      <c r="E4" s="4" t="s">
        <v>79</v>
      </c>
      <c r="F4" s="4" t="s">
        <v>80</v>
      </c>
      <c r="G4" s="4" t="s">
        <v>81</v>
      </c>
      <c r="H4" s="4" t="s">
        <v>82</v>
      </c>
      <c r="I4" s="4" t="s">
        <v>83</v>
      </c>
    </row>
    <row r="5" spans="1:9" x14ac:dyDescent="0.2">
      <c r="A5" t="s">
        <v>9</v>
      </c>
      <c r="B5" s="11">
        <f>Inputs!B13</f>
        <v>30</v>
      </c>
      <c r="C5" s="12">
        <f>MAX(0,Inputs!C13-Inputs!C6)</f>
        <v>21</v>
      </c>
      <c r="D5" s="12">
        <f>MAX(0,Inputs!D13-Inputs!E6)</f>
        <v>0</v>
      </c>
      <c r="E5" s="8">
        <f>Inputs!B6+C5*Inputs!D6+D5*Inputs!F6</f>
        <v>52.3</v>
      </c>
      <c r="F5" s="8">
        <f>Inputs!C13*Inputs!$B$31+Inputs!D13*Inputs!$B$27</f>
        <v>5.6459999999999999</v>
      </c>
      <c r="G5" s="8">
        <f>E5-F5</f>
        <v>46.653999999999996</v>
      </c>
      <c r="H5" s="8">
        <f>B5*E5</f>
        <v>1569</v>
      </c>
      <c r="I5" s="8">
        <f>B5*F5</f>
        <v>169.38</v>
      </c>
    </row>
    <row r="6" spans="1:9" x14ac:dyDescent="0.2">
      <c r="A6" t="s">
        <v>10</v>
      </c>
      <c r="B6" s="11">
        <f>Inputs!B14</f>
        <v>12</v>
      </c>
      <c r="C6" s="12">
        <f>MAX(0,Inputs!C14-Inputs!C7)</f>
        <v>24</v>
      </c>
      <c r="D6" s="12">
        <f>MAX(0,Inputs!D14-Inputs!E7)</f>
        <v>10</v>
      </c>
      <c r="E6" s="8">
        <f>Inputs!B7+C6*Inputs!D7+D6*Inputs!F7</f>
        <v>139.80000000000001</v>
      </c>
      <c r="F6" s="8">
        <f>Inputs!C14*Inputs!$B$24+Inputs!D14*Inputs!$B$27</f>
        <v>30.6</v>
      </c>
      <c r="G6" s="8">
        <f>E6-F6</f>
        <v>109.20000000000002</v>
      </c>
      <c r="H6" s="8">
        <f>B6*E6</f>
        <v>1677.6000000000001</v>
      </c>
      <c r="I6" s="8">
        <f>B6*F6</f>
        <v>367.20000000000005</v>
      </c>
    </row>
    <row r="7" spans="1:9" x14ac:dyDescent="0.2">
      <c r="A7" t="s">
        <v>11</v>
      </c>
      <c r="B7" s="11">
        <f>Inputs!B15</f>
        <v>5</v>
      </c>
      <c r="C7" s="12">
        <f>MAX(0,Inputs!C15-Inputs!C8)</f>
        <v>28</v>
      </c>
      <c r="D7" s="12">
        <f>MAX(0,Inputs!D15-Inputs!E8)</f>
        <v>30</v>
      </c>
      <c r="E7" s="8">
        <f>Inputs!B8+C7*Inputs!D8+D7*Inputs!F8</f>
        <v>290.39999999999998</v>
      </c>
      <c r="F7" s="8">
        <f>Inputs!C15*Inputs!$B$25+Inputs!D15*Inputs!$B$27</f>
        <v>67.599999999999994</v>
      </c>
      <c r="G7" s="8">
        <f>E7-F7</f>
        <v>222.79999999999998</v>
      </c>
      <c r="H7" s="8">
        <f>B7*E7</f>
        <v>1452</v>
      </c>
      <c r="I7" s="8">
        <f>B7*F7</f>
        <v>338</v>
      </c>
    </row>
    <row r="8" spans="1:9" x14ac:dyDescent="0.2">
      <c r="A8" t="s">
        <v>12</v>
      </c>
      <c r="B8" s="11">
        <f>Inputs!B16</f>
        <v>3</v>
      </c>
      <c r="C8" s="12">
        <f>MAX(0,Inputs!C16-Inputs!C9)</f>
        <v>38</v>
      </c>
      <c r="D8" s="12">
        <f>MAX(0,Inputs!D16-Inputs!E9)</f>
        <v>50</v>
      </c>
      <c r="E8" s="8">
        <f>Inputs!B9+C8*Inputs!D9+D8*Inputs!F9</f>
        <v>632</v>
      </c>
      <c r="F8" s="8">
        <f>Inputs!C16*Inputs!$B$26+Inputs!D16*Inputs!$B$27</f>
        <v>145.5</v>
      </c>
      <c r="G8" s="8">
        <f>E8-F8</f>
        <v>486.5</v>
      </c>
      <c r="H8" s="8">
        <f>B8*E8</f>
        <v>1896</v>
      </c>
      <c r="I8" s="8">
        <f>B8*F8</f>
        <v>436.5</v>
      </c>
    </row>
    <row r="9" spans="1:9" x14ac:dyDescent="0.2">
      <c r="A9" s="3" t="s">
        <v>84</v>
      </c>
      <c r="B9" s="13">
        <f>SUM(B5:B8)</f>
        <v>50</v>
      </c>
      <c r="H9" s="14">
        <f>SUM(H5:H8)</f>
        <v>6594.6</v>
      </c>
      <c r="I9" s="14">
        <f>SUM(I5:I8)</f>
        <v>1311.08</v>
      </c>
    </row>
    <row r="11" spans="1:9" x14ac:dyDescent="0.2">
      <c r="A11" s="3" t="s">
        <v>85</v>
      </c>
    </row>
    <row r="12" spans="1:9" x14ac:dyDescent="0.2">
      <c r="A12" t="s">
        <v>86</v>
      </c>
      <c r="B12" s="8">
        <f>H9</f>
        <v>6594.6</v>
      </c>
    </row>
    <row r="13" spans="1:9" x14ac:dyDescent="0.2">
      <c r="A13" t="s">
        <v>87</v>
      </c>
      <c r="B13" s="8">
        <f>I9</f>
        <v>1311.08</v>
      </c>
    </row>
    <row r="14" spans="1:9" x14ac:dyDescent="0.2">
      <c r="A14" t="s">
        <v>88</v>
      </c>
      <c r="B14" s="8">
        <f>Inputs!B28</f>
        <v>9</v>
      </c>
    </row>
    <row r="15" spans="1:9" x14ac:dyDescent="0.2">
      <c r="A15" s="3" t="s">
        <v>89</v>
      </c>
      <c r="B15" s="14">
        <f>B12-B13-B14</f>
        <v>5274.52</v>
      </c>
    </row>
    <row r="16" spans="1:9" x14ac:dyDescent="0.2">
      <c r="A16" s="3" t="s">
        <v>90</v>
      </c>
      <c r="B16" s="14">
        <f>B15*12</f>
        <v>63294.240000000005</v>
      </c>
    </row>
    <row r="17" spans="1:2" x14ac:dyDescent="0.2">
      <c r="A17" s="3" t="s">
        <v>91</v>
      </c>
      <c r="B17" s="15">
        <f>B15/B12</f>
        <v>0.79982409850483727</v>
      </c>
    </row>
  </sheetData>
  <mergeCells count="1"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showGridLines="0" workbookViewId="0">
      <selection activeCell="A5" sqref="A5:I9"/>
    </sheetView>
  </sheetViews>
  <sheetFormatPr baseColWidth="10" defaultColWidth="8.83203125" defaultRowHeight="15" x14ac:dyDescent="0.2"/>
  <cols>
    <col min="1" max="1" width="50.6640625" bestFit="1" customWidth="1"/>
    <col min="2" max="9" width="15" customWidth="1"/>
  </cols>
  <sheetData>
    <row r="1" spans="1:9" ht="19" x14ac:dyDescent="0.25">
      <c r="A1" s="1" t="s">
        <v>92</v>
      </c>
    </row>
    <row r="2" spans="1:9" x14ac:dyDescent="0.2">
      <c r="A2" s="17" t="s">
        <v>93</v>
      </c>
      <c r="B2" s="18"/>
      <c r="C2" s="18"/>
      <c r="D2" s="18"/>
      <c r="E2" s="18"/>
      <c r="F2" s="18"/>
      <c r="G2" s="18"/>
      <c r="H2" s="18"/>
      <c r="I2" s="18"/>
    </row>
    <row r="4" spans="1:9" ht="16" x14ac:dyDescent="0.2">
      <c r="A4" s="4" t="s">
        <v>3</v>
      </c>
      <c r="B4" s="4" t="s">
        <v>76</v>
      </c>
      <c r="C4" s="4" t="s">
        <v>77</v>
      </c>
      <c r="D4" s="4" t="s">
        <v>78</v>
      </c>
      <c r="E4" s="4" t="s">
        <v>79</v>
      </c>
      <c r="F4" s="4" t="s">
        <v>80</v>
      </c>
      <c r="G4" s="4" t="s">
        <v>81</v>
      </c>
      <c r="H4" s="4" t="s">
        <v>82</v>
      </c>
      <c r="I4" s="4" t="s">
        <v>83</v>
      </c>
    </row>
    <row r="5" spans="1:9" x14ac:dyDescent="0.2">
      <c r="A5" t="s">
        <v>9</v>
      </c>
      <c r="B5" s="6">
        <v>473</v>
      </c>
      <c r="C5" s="12">
        <f>MAX(0,Inputs!C13-Inputs!C6)</f>
        <v>21</v>
      </c>
      <c r="D5" s="12">
        <f>MAX(0,Inputs!D13-Inputs!E6)</f>
        <v>0</v>
      </c>
      <c r="E5" s="8">
        <f>Inputs!B6+C5*Inputs!D6+D5*Inputs!F6</f>
        <v>52.3</v>
      </c>
      <c r="F5" s="8">
        <f>Inputs!C13*Inputs!$B$31+Inputs!D13*Inputs!$B$27</f>
        <v>5.6459999999999999</v>
      </c>
      <c r="G5" s="8">
        <f>E5-F5</f>
        <v>46.653999999999996</v>
      </c>
      <c r="H5" s="8">
        <f>B5*E5</f>
        <v>24737.899999999998</v>
      </c>
      <c r="I5" s="8">
        <f>B5*F5</f>
        <v>2670.558</v>
      </c>
    </row>
    <row r="6" spans="1:9" x14ac:dyDescent="0.2">
      <c r="A6" t="s">
        <v>10</v>
      </c>
      <c r="B6" s="6">
        <v>189</v>
      </c>
      <c r="C6" s="12">
        <f>MAX(0,Inputs!C14-Inputs!C7)</f>
        <v>24</v>
      </c>
      <c r="D6" s="12">
        <f>MAX(0,Inputs!D14-Inputs!E7)</f>
        <v>10</v>
      </c>
      <c r="E6" s="8">
        <f>Inputs!B7+C6*Inputs!D7+D6*Inputs!F7</f>
        <v>139.80000000000001</v>
      </c>
      <c r="F6" s="8">
        <f>Inputs!C14*Inputs!$B$24+Inputs!D14*Inputs!$B$27</f>
        <v>30.6</v>
      </c>
      <c r="G6" s="8">
        <f>E6-F6</f>
        <v>109.20000000000002</v>
      </c>
      <c r="H6" s="8">
        <f>B6*E6</f>
        <v>26422.2</v>
      </c>
      <c r="I6" s="8">
        <f>B6*F6</f>
        <v>5783.4000000000005</v>
      </c>
    </row>
    <row r="7" spans="1:9" x14ac:dyDescent="0.2">
      <c r="A7" t="s">
        <v>11</v>
      </c>
      <c r="B7" s="6">
        <v>79</v>
      </c>
      <c r="C7" s="12">
        <f>MAX(0,Inputs!C15-Inputs!C8)</f>
        <v>28</v>
      </c>
      <c r="D7" s="12">
        <f>MAX(0,Inputs!D15-Inputs!E8)</f>
        <v>30</v>
      </c>
      <c r="E7" s="8">
        <f>Inputs!B8+C7*Inputs!D8+D7*Inputs!F8</f>
        <v>290.39999999999998</v>
      </c>
      <c r="F7" s="8">
        <f>Inputs!C15*Inputs!$B$25+Inputs!D15*Inputs!$B$27</f>
        <v>67.599999999999994</v>
      </c>
      <c r="G7" s="8">
        <f>E7-F7</f>
        <v>222.79999999999998</v>
      </c>
      <c r="H7" s="8">
        <f>B7*E7</f>
        <v>22941.599999999999</v>
      </c>
      <c r="I7" s="8">
        <f>B7*F7</f>
        <v>5340.4</v>
      </c>
    </row>
    <row r="8" spans="1:9" x14ac:dyDescent="0.2">
      <c r="A8" t="s">
        <v>12</v>
      </c>
      <c r="B8" s="6">
        <v>47</v>
      </c>
      <c r="C8" s="12">
        <f>MAX(0,Inputs!C16-Inputs!C9)</f>
        <v>38</v>
      </c>
      <c r="D8" s="12">
        <f>MAX(0,Inputs!D16-Inputs!E9)</f>
        <v>50</v>
      </c>
      <c r="E8" s="8">
        <f>Inputs!B9+C8*Inputs!D9+D8*Inputs!F9</f>
        <v>632</v>
      </c>
      <c r="F8" s="8">
        <f>Inputs!C16*Inputs!$B$26+Inputs!D16*Inputs!$B$27</f>
        <v>145.5</v>
      </c>
      <c r="G8" s="8">
        <f>E8-F8</f>
        <v>486.5</v>
      </c>
      <c r="H8" s="8">
        <f>B8*E8</f>
        <v>29704</v>
      </c>
      <c r="I8" s="8">
        <f>B8*F8</f>
        <v>6838.5</v>
      </c>
    </row>
    <row r="9" spans="1:9" x14ac:dyDescent="0.2">
      <c r="A9" s="3" t="s">
        <v>84</v>
      </c>
      <c r="B9" s="13">
        <f>SUM(B5:B8)</f>
        <v>788</v>
      </c>
      <c r="H9" s="14">
        <f>SUM(H5:H8)</f>
        <v>103805.7</v>
      </c>
      <c r="I9" s="14">
        <f>SUM(I5:I8)</f>
        <v>20632.858</v>
      </c>
    </row>
    <row r="11" spans="1:9" x14ac:dyDescent="0.2">
      <c r="A11" s="3" t="s">
        <v>85</v>
      </c>
    </row>
    <row r="12" spans="1:9" x14ac:dyDescent="0.2">
      <c r="A12" t="s">
        <v>86</v>
      </c>
      <c r="B12" s="8">
        <f>H9</f>
        <v>103805.7</v>
      </c>
    </row>
    <row r="13" spans="1:9" x14ac:dyDescent="0.2">
      <c r="A13" t="s">
        <v>87</v>
      </c>
      <c r="B13" s="8">
        <f>I9</f>
        <v>20632.858</v>
      </c>
    </row>
    <row r="14" spans="1:9" x14ac:dyDescent="0.2">
      <c r="A14" t="s">
        <v>88</v>
      </c>
      <c r="B14" s="8">
        <f>Inputs!B28</f>
        <v>9</v>
      </c>
    </row>
    <row r="15" spans="1:9" x14ac:dyDescent="0.2">
      <c r="A15" s="3" t="s">
        <v>89</v>
      </c>
      <c r="B15" s="14">
        <f>B12-B13-B14</f>
        <v>83163.842000000004</v>
      </c>
    </row>
    <row r="16" spans="1:9" x14ac:dyDescent="0.2">
      <c r="A16" s="3" t="s">
        <v>90</v>
      </c>
      <c r="B16" s="14">
        <f>B15*12</f>
        <v>997966.10400000005</v>
      </c>
    </row>
    <row r="17" spans="1:2" x14ac:dyDescent="0.2">
      <c r="A17" s="3" t="s">
        <v>91</v>
      </c>
      <c r="B17" s="15">
        <f>B15/B12</f>
        <v>0.80114908911553029</v>
      </c>
    </row>
  </sheetData>
  <mergeCells count="1"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0"/>
  <sheetViews>
    <sheetView showGridLines="0" workbookViewId="0">
      <selection activeCell="D17" sqref="D17"/>
    </sheetView>
  </sheetViews>
  <sheetFormatPr baseColWidth="10" defaultColWidth="8.83203125" defaultRowHeight="15" x14ac:dyDescent="0.2"/>
  <cols>
    <col min="1" max="1" width="38.5" bestFit="1" customWidth="1"/>
    <col min="2" max="5" width="18" customWidth="1"/>
  </cols>
  <sheetData>
    <row r="1" spans="1:5" ht="19" x14ac:dyDescent="0.25">
      <c r="A1" s="1" t="s">
        <v>94</v>
      </c>
    </row>
    <row r="2" spans="1:5" x14ac:dyDescent="0.2">
      <c r="A2" s="17" t="s">
        <v>95</v>
      </c>
      <c r="B2" s="18"/>
      <c r="C2" s="18"/>
      <c r="D2" s="18"/>
      <c r="E2" s="18"/>
    </row>
    <row r="4" spans="1:5" x14ac:dyDescent="0.2">
      <c r="A4" s="3" t="s">
        <v>96</v>
      </c>
    </row>
    <row r="5" spans="1:5" x14ac:dyDescent="0.2">
      <c r="A5" t="s">
        <v>97</v>
      </c>
      <c r="B5" s="8">
        <f>Inputs!B41*Inputs!B39</f>
        <v>100000</v>
      </c>
    </row>
    <row r="6" spans="1:5" x14ac:dyDescent="0.2">
      <c r="A6" t="s">
        <v>98</v>
      </c>
      <c r="B6" s="8">
        <f>Inputs!B42*Inputs!B40</f>
        <v>150000</v>
      </c>
    </row>
    <row r="7" spans="1:5" x14ac:dyDescent="0.2">
      <c r="A7" s="3" t="s">
        <v>99</v>
      </c>
      <c r="B7" s="8">
        <f>B5+B6</f>
        <v>250000</v>
      </c>
    </row>
    <row r="8" spans="1:5" x14ac:dyDescent="0.2">
      <c r="A8" t="s">
        <v>100</v>
      </c>
      <c r="B8" s="8">
        <f>B7*Inputs!B43</f>
        <v>50000</v>
      </c>
    </row>
    <row r="9" spans="1:5" x14ac:dyDescent="0.2">
      <c r="A9" s="3" t="s">
        <v>101</v>
      </c>
      <c r="B9" s="14">
        <f>B7-B8</f>
        <v>200000</v>
      </c>
    </row>
    <row r="11" spans="1:5" x14ac:dyDescent="0.2">
      <c r="A11" t="s">
        <v>102</v>
      </c>
      <c r="B11" s="11">
        <f>Inputs!B44</f>
        <v>0</v>
      </c>
    </row>
    <row r="12" spans="1:5" x14ac:dyDescent="0.2">
      <c r="A12" s="3" t="s">
        <v>103</v>
      </c>
      <c r="B12" s="8">
        <f>B11*B7</f>
        <v>0</v>
      </c>
    </row>
    <row r="13" spans="1:5" x14ac:dyDescent="0.2">
      <c r="A13" s="3" t="s">
        <v>104</v>
      </c>
      <c r="B13" s="8">
        <f>B11*B8</f>
        <v>0</v>
      </c>
    </row>
    <row r="14" spans="1:5" x14ac:dyDescent="0.2">
      <c r="A14" s="3" t="s">
        <v>105</v>
      </c>
      <c r="B14" s="14">
        <f>B12-B13</f>
        <v>0</v>
      </c>
    </row>
    <row r="16" spans="1:5" x14ac:dyDescent="0.2">
      <c r="A16" s="3" t="s">
        <v>106</v>
      </c>
    </row>
    <row r="17" spans="1:2" x14ac:dyDescent="0.2">
      <c r="A17" t="s">
        <v>107</v>
      </c>
      <c r="B17" s="11">
        <f>Inputs!B38</f>
        <v>0</v>
      </c>
    </row>
    <row r="18" spans="1:2" x14ac:dyDescent="0.2">
      <c r="A18" t="s">
        <v>108</v>
      </c>
      <c r="B18" s="8">
        <f>B17*Inputs!B36</f>
        <v>0</v>
      </c>
    </row>
    <row r="19" spans="1:2" x14ac:dyDescent="0.2">
      <c r="A19" t="s">
        <v>109</v>
      </c>
      <c r="B19" s="8">
        <f>B18*Inputs!B37</f>
        <v>0</v>
      </c>
    </row>
    <row r="20" spans="1:2" x14ac:dyDescent="0.2">
      <c r="A20" s="3" t="s">
        <v>110</v>
      </c>
      <c r="B20" s="14">
        <f>B18-B19</f>
        <v>0</v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showGridLines="0" workbookViewId="0">
      <selection activeCell="E5" sqref="E5"/>
    </sheetView>
  </sheetViews>
  <sheetFormatPr baseColWidth="10" defaultColWidth="8.83203125" defaultRowHeight="15" x14ac:dyDescent="0.2"/>
  <cols>
    <col min="1" max="1" width="45.83203125" bestFit="1" customWidth="1"/>
    <col min="2" max="6" width="16" customWidth="1"/>
  </cols>
  <sheetData>
    <row r="1" spans="1:6" ht="19" x14ac:dyDescent="0.25">
      <c r="A1" s="1" t="s">
        <v>111</v>
      </c>
    </row>
    <row r="2" spans="1:6" x14ac:dyDescent="0.2">
      <c r="A2" s="17" t="s">
        <v>112</v>
      </c>
      <c r="B2" s="18"/>
      <c r="C2" s="18"/>
      <c r="D2" s="18"/>
      <c r="E2" s="18"/>
      <c r="F2" s="18"/>
    </row>
    <row r="4" spans="1:6" ht="16" x14ac:dyDescent="0.2">
      <c r="A4" s="4" t="s">
        <v>113</v>
      </c>
      <c r="B4" s="4" t="s">
        <v>114</v>
      </c>
      <c r="C4" s="4" t="s">
        <v>115</v>
      </c>
      <c r="D4" s="4" t="s">
        <v>116</v>
      </c>
      <c r="E4" s="4" t="s">
        <v>117</v>
      </c>
      <c r="F4" s="4" t="s">
        <v>118</v>
      </c>
    </row>
    <row r="5" spans="1:6" x14ac:dyDescent="0.2">
      <c r="A5" t="s">
        <v>119</v>
      </c>
      <c r="B5" s="16">
        <f>Inputs!B48</f>
        <v>0.5</v>
      </c>
      <c r="C5" s="11">
        <f>Inputs!B49</f>
        <v>8</v>
      </c>
      <c r="D5" s="11">
        <f>Inputs!B50</f>
        <v>2</v>
      </c>
      <c r="E5" s="8">
        <f>C5*B5*Inputs!B47</f>
        <v>12000</v>
      </c>
      <c r="F5" s="8">
        <f>D5*E5</f>
        <v>24000</v>
      </c>
    </row>
    <row r="6" spans="1:6" x14ac:dyDescent="0.2">
      <c r="A6" t="s">
        <v>120</v>
      </c>
      <c r="B6" s="16">
        <f>Inputs!B51</f>
        <v>1</v>
      </c>
      <c r="C6" s="11">
        <f>Inputs!B52</f>
        <v>32</v>
      </c>
      <c r="D6" s="11">
        <f>Inputs!B53</f>
        <v>0</v>
      </c>
      <c r="E6" s="8">
        <f>C6*B6*Inputs!B47</f>
        <v>96000</v>
      </c>
      <c r="F6" s="8">
        <f>D6*E6</f>
        <v>0</v>
      </c>
    </row>
    <row r="7" spans="1:6" x14ac:dyDescent="0.2">
      <c r="A7" s="3" t="s">
        <v>121</v>
      </c>
      <c r="F7" s="14">
        <f>SUM(F5:F6)</f>
        <v>24000</v>
      </c>
    </row>
  </sheetData>
  <mergeCells count="1">
    <mergeCell ref="A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1"/>
  <sheetViews>
    <sheetView showGridLines="0" workbookViewId="0"/>
  </sheetViews>
  <sheetFormatPr baseColWidth="10" defaultColWidth="8.83203125" defaultRowHeight="15" x14ac:dyDescent="0.2"/>
  <cols>
    <col min="1" max="1" width="30" customWidth="1"/>
    <col min="2" max="2" width="18" customWidth="1"/>
  </cols>
  <sheetData>
    <row r="1" spans="1:2" ht="19" x14ac:dyDescent="0.25">
      <c r="A1" s="1" t="s">
        <v>122</v>
      </c>
    </row>
    <row r="2" spans="1:2" x14ac:dyDescent="0.2">
      <c r="A2" s="17" t="s">
        <v>123</v>
      </c>
      <c r="B2" s="18"/>
    </row>
    <row r="4" spans="1:2" x14ac:dyDescent="0.2">
      <c r="A4" t="s">
        <v>124</v>
      </c>
      <c r="B4" s="11">
        <f>Inputs!B57</f>
        <v>50</v>
      </c>
    </row>
    <row r="5" spans="1:2" x14ac:dyDescent="0.2">
      <c r="A5" t="s">
        <v>125</v>
      </c>
      <c r="B5" s="11">
        <f>Inputs!B59</f>
        <v>80</v>
      </c>
    </row>
    <row r="6" spans="1:2" x14ac:dyDescent="0.2">
      <c r="A6" t="s">
        <v>126</v>
      </c>
      <c r="B6" s="11">
        <f>MAX(0,B5-Inputs!B57)</f>
        <v>30</v>
      </c>
    </row>
    <row r="7" spans="1:2" x14ac:dyDescent="0.2">
      <c r="A7" t="s">
        <v>127</v>
      </c>
      <c r="B7" s="8">
        <f>Inputs!B58+B6*Inputs!B56</f>
        <v>4200</v>
      </c>
    </row>
    <row r="8" spans="1:2" x14ac:dyDescent="0.2">
      <c r="A8" s="3" t="s">
        <v>128</v>
      </c>
      <c r="B8" s="14">
        <f>B7*12</f>
        <v>50400</v>
      </c>
    </row>
    <row r="10" spans="1:2" x14ac:dyDescent="0.2">
      <c r="A10" t="s">
        <v>129</v>
      </c>
      <c r="B10" s="11">
        <f>Inputs!B60</f>
        <v>0</v>
      </c>
    </row>
    <row r="11" spans="1:2" x14ac:dyDescent="0.2">
      <c r="A11" s="3" t="s">
        <v>103</v>
      </c>
      <c r="B11" s="14">
        <f>B10*B8</f>
        <v>0</v>
      </c>
    </row>
  </sheetData>
  <mergeCells count="1">
    <mergeCell ref="A2:B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"/>
  <sheetViews>
    <sheetView showGridLines="0" workbookViewId="0"/>
  </sheetViews>
  <sheetFormatPr baseColWidth="10" defaultColWidth="8.83203125" defaultRowHeight="15" x14ac:dyDescent="0.2"/>
  <cols>
    <col min="1" max="1" width="50.6640625" bestFit="1" customWidth="1"/>
    <col min="2" max="2" width="18" customWidth="1"/>
  </cols>
  <sheetData>
    <row r="1" spans="1:2" ht="19" x14ac:dyDescent="0.25">
      <c r="A1" s="1" t="s">
        <v>130</v>
      </c>
    </row>
    <row r="2" spans="1:2" x14ac:dyDescent="0.2">
      <c r="A2" s="17" t="s">
        <v>131</v>
      </c>
      <c r="B2" s="18"/>
    </row>
    <row r="4" spans="1:2" x14ac:dyDescent="0.2">
      <c r="A4" t="s">
        <v>132</v>
      </c>
      <c r="B4" s="11">
        <f>MAX(0,Inputs!B67-Inputs!B64)</f>
        <v>32</v>
      </c>
    </row>
    <row r="5" spans="1:2" x14ac:dyDescent="0.2">
      <c r="A5" t="s">
        <v>133</v>
      </c>
      <c r="B5" s="11">
        <f>Inputs!B67*Inputs!B65</f>
        <v>192</v>
      </c>
    </row>
    <row r="6" spans="1:2" x14ac:dyDescent="0.2">
      <c r="A6" s="3" t="s">
        <v>128</v>
      </c>
      <c r="B6" s="14">
        <f>Inputs!B63+B4*Inputs!B66</f>
        <v>130000</v>
      </c>
    </row>
    <row r="8" spans="1:2" x14ac:dyDescent="0.2">
      <c r="A8" t="s">
        <v>129</v>
      </c>
      <c r="B8" s="11">
        <f>Inputs!B68</f>
        <v>0</v>
      </c>
    </row>
    <row r="9" spans="1:2" x14ac:dyDescent="0.2">
      <c r="A9" s="3" t="s">
        <v>103</v>
      </c>
      <c r="B9" s="14">
        <f>B8*B6</f>
        <v>0</v>
      </c>
    </row>
  </sheetData>
  <mergeCells count="1">
    <mergeCell ref="A2:B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8"/>
  <sheetViews>
    <sheetView showGridLines="0" workbookViewId="0"/>
  </sheetViews>
  <sheetFormatPr baseColWidth="10" defaultColWidth="8.83203125" defaultRowHeight="15" x14ac:dyDescent="0.2"/>
  <cols>
    <col min="1" max="1" width="34" customWidth="1"/>
    <col min="2" max="2" width="18" customWidth="1"/>
  </cols>
  <sheetData>
    <row r="1" spans="1:2" ht="19" x14ac:dyDescent="0.25">
      <c r="A1" s="1" t="s">
        <v>134</v>
      </c>
    </row>
    <row r="2" spans="1:2" x14ac:dyDescent="0.2">
      <c r="A2" s="17" t="s">
        <v>135</v>
      </c>
      <c r="B2" s="18"/>
    </row>
    <row r="4" spans="1:2" x14ac:dyDescent="0.2">
      <c r="A4" t="s">
        <v>136</v>
      </c>
      <c r="B4" s="8">
        <f>Inputs!B72*Inputs!B71</f>
        <v>0</v>
      </c>
    </row>
    <row r="5" spans="1:2" x14ac:dyDescent="0.2">
      <c r="A5" t="s">
        <v>137</v>
      </c>
      <c r="B5" s="8">
        <f>Inputs!B74*Inputs!B73*12</f>
        <v>0</v>
      </c>
    </row>
    <row r="6" spans="1:2" x14ac:dyDescent="0.2">
      <c r="A6" s="3" t="s">
        <v>138</v>
      </c>
      <c r="B6" s="14">
        <f>B4+B5</f>
        <v>0</v>
      </c>
    </row>
    <row r="7" spans="1:2" x14ac:dyDescent="0.2">
      <c r="A7" t="s">
        <v>139</v>
      </c>
      <c r="B7" s="8">
        <f>B6*Inputs!B75</f>
        <v>0</v>
      </c>
    </row>
    <row r="8" spans="1:2" x14ac:dyDescent="0.2">
      <c r="A8" s="3" t="s">
        <v>140</v>
      </c>
      <c r="B8" s="14">
        <f>B6-B7</f>
        <v>0</v>
      </c>
    </row>
  </sheetData>
  <mergeCells count="1">
    <mergeCell ref="A2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4"/>
  <sheetViews>
    <sheetView showGridLines="0" workbookViewId="0">
      <selection activeCell="E23" sqref="E23"/>
    </sheetView>
  </sheetViews>
  <sheetFormatPr baseColWidth="10" defaultColWidth="8.83203125" defaultRowHeight="15" x14ac:dyDescent="0.2"/>
  <cols>
    <col min="1" max="1" width="51.33203125" bestFit="1" customWidth="1"/>
    <col min="2" max="9" width="15" customWidth="1"/>
  </cols>
  <sheetData>
    <row r="1" spans="1:9" ht="19" x14ac:dyDescent="0.25">
      <c r="A1" s="1" t="s">
        <v>141</v>
      </c>
    </row>
    <row r="2" spans="1:9" x14ac:dyDescent="0.2">
      <c r="A2" s="17" t="s">
        <v>142</v>
      </c>
      <c r="B2" s="18"/>
      <c r="C2" s="18"/>
      <c r="D2" s="18"/>
      <c r="E2" s="18"/>
      <c r="F2" s="18"/>
      <c r="G2" s="18"/>
      <c r="H2" s="18"/>
      <c r="I2" s="18"/>
    </row>
    <row r="4" spans="1:9" ht="16" x14ac:dyDescent="0.2">
      <c r="A4" s="4" t="s">
        <v>3</v>
      </c>
      <c r="B4" s="4" t="s">
        <v>76</v>
      </c>
      <c r="C4" s="4" t="s">
        <v>77</v>
      </c>
      <c r="D4" s="4" t="s">
        <v>78</v>
      </c>
      <c r="E4" s="4" t="s">
        <v>79</v>
      </c>
      <c r="F4" s="4" t="s">
        <v>80</v>
      </c>
      <c r="G4" s="4" t="s">
        <v>81</v>
      </c>
      <c r="H4" s="4" t="s">
        <v>82</v>
      </c>
      <c r="I4" s="4" t="s">
        <v>83</v>
      </c>
    </row>
    <row r="5" spans="1:9" x14ac:dyDescent="0.2">
      <c r="A5" t="s">
        <v>9</v>
      </c>
      <c r="B5" s="6">
        <v>220</v>
      </c>
      <c r="C5" s="12">
        <f>MAX(0,Inputs!C13-Inputs!C6)</f>
        <v>21</v>
      </c>
      <c r="D5" s="12">
        <f>MAX(0,Inputs!D13-Inputs!E6)</f>
        <v>0</v>
      </c>
      <c r="E5" s="8">
        <f>Inputs!B6+C5*Inputs!D6+D5*Inputs!F6</f>
        <v>52.3</v>
      </c>
      <c r="F5" s="8">
        <f>Inputs!C13*Inputs!$B$31+Inputs!D13*Inputs!$B$27</f>
        <v>5.6459999999999999</v>
      </c>
      <c r="G5" s="8">
        <f>E5-F5</f>
        <v>46.653999999999996</v>
      </c>
      <c r="H5" s="8">
        <f>B5*E5</f>
        <v>11506</v>
      </c>
      <c r="I5" s="8">
        <f>B5*F5</f>
        <v>1242.1199999999999</v>
      </c>
    </row>
    <row r="6" spans="1:9" x14ac:dyDescent="0.2">
      <c r="A6" t="s">
        <v>10</v>
      </c>
      <c r="B6" s="6">
        <v>90</v>
      </c>
      <c r="C6" s="12">
        <f>MAX(0,Inputs!C14-Inputs!C7)</f>
        <v>24</v>
      </c>
      <c r="D6" s="12">
        <f>MAX(0,Inputs!D14-Inputs!E7)</f>
        <v>10</v>
      </c>
      <c r="E6" s="8">
        <f>Inputs!B7+C6*Inputs!D7+D6*Inputs!F7</f>
        <v>139.80000000000001</v>
      </c>
      <c r="F6" s="8">
        <f>Inputs!C14*Inputs!$B$24+Inputs!D14*Inputs!$B$27</f>
        <v>30.6</v>
      </c>
      <c r="G6" s="8">
        <f>E6-F6</f>
        <v>109.20000000000002</v>
      </c>
      <c r="H6" s="8">
        <f>B6*E6</f>
        <v>12582.000000000002</v>
      </c>
      <c r="I6" s="8">
        <f>B6*F6</f>
        <v>2754</v>
      </c>
    </row>
    <row r="7" spans="1:9" x14ac:dyDescent="0.2">
      <c r="A7" t="s">
        <v>11</v>
      </c>
      <c r="B7" s="6">
        <v>38</v>
      </c>
      <c r="C7" s="12">
        <f>MAX(0,Inputs!C15-Inputs!C8)</f>
        <v>28</v>
      </c>
      <c r="D7" s="12">
        <f>MAX(0,Inputs!D15-Inputs!E8)</f>
        <v>30</v>
      </c>
      <c r="E7" s="8">
        <f>Inputs!B8+C7*Inputs!D8+D7*Inputs!F8</f>
        <v>290.39999999999998</v>
      </c>
      <c r="F7" s="8">
        <f>Inputs!C15*Inputs!$B$25+Inputs!D15*Inputs!$B$27</f>
        <v>67.599999999999994</v>
      </c>
      <c r="G7" s="8">
        <f>E7-F7</f>
        <v>222.79999999999998</v>
      </c>
      <c r="H7" s="8">
        <f>B7*E7</f>
        <v>11035.199999999999</v>
      </c>
      <c r="I7" s="8">
        <f>B7*F7</f>
        <v>2568.7999999999997</v>
      </c>
    </row>
    <row r="8" spans="1:9" x14ac:dyDescent="0.2">
      <c r="A8" t="s">
        <v>12</v>
      </c>
      <c r="B8" s="6">
        <v>22</v>
      </c>
      <c r="C8" s="12">
        <f>MAX(0,Inputs!C16-Inputs!C9)</f>
        <v>38</v>
      </c>
      <c r="D8" s="12">
        <f>MAX(0,Inputs!D16-Inputs!E9)</f>
        <v>50</v>
      </c>
      <c r="E8" s="8">
        <f>Inputs!B9+C8*Inputs!D9+D8*Inputs!F9</f>
        <v>632</v>
      </c>
      <c r="F8" s="8">
        <f>Inputs!C16*Inputs!$B$26+Inputs!D16*Inputs!$B$27</f>
        <v>145.5</v>
      </c>
      <c r="G8" s="8">
        <f>E8-F8</f>
        <v>486.5</v>
      </c>
      <c r="H8" s="8">
        <f>B8*E8</f>
        <v>13904</v>
      </c>
      <c r="I8" s="8">
        <f>B8*F8</f>
        <v>3201</v>
      </c>
    </row>
    <row r="9" spans="1:9" x14ac:dyDescent="0.2">
      <c r="A9" s="3" t="s">
        <v>84</v>
      </c>
      <c r="B9" s="13">
        <f>SUM(B5:B8)</f>
        <v>370</v>
      </c>
      <c r="H9" s="14">
        <f>SUM(H5:H8)</f>
        <v>49027.199999999997</v>
      </c>
      <c r="I9" s="14">
        <f>SUM(I5:I8)</f>
        <v>9765.92</v>
      </c>
    </row>
    <row r="11" spans="1:9" x14ac:dyDescent="0.2">
      <c r="A11" s="3" t="s">
        <v>85</v>
      </c>
    </row>
    <row r="12" spans="1:9" x14ac:dyDescent="0.2">
      <c r="A12" t="s">
        <v>86</v>
      </c>
      <c r="B12" s="8">
        <f>H9</f>
        <v>49027.199999999997</v>
      </c>
    </row>
    <row r="13" spans="1:9" x14ac:dyDescent="0.2">
      <c r="A13" t="s">
        <v>87</v>
      </c>
      <c r="B13" s="8">
        <f>I9</f>
        <v>9765.92</v>
      </c>
    </row>
    <row r="14" spans="1:9" x14ac:dyDescent="0.2">
      <c r="A14" t="s">
        <v>88</v>
      </c>
      <c r="B14" s="8">
        <f>Inputs!B28</f>
        <v>9</v>
      </c>
    </row>
    <row r="15" spans="1:9" x14ac:dyDescent="0.2">
      <c r="A15" s="3" t="s">
        <v>89</v>
      </c>
      <c r="B15" s="14">
        <f>B12-B13-B14</f>
        <v>39252.28</v>
      </c>
    </row>
    <row r="16" spans="1:9" x14ac:dyDescent="0.2">
      <c r="A16" s="3" t="s">
        <v>90</v>
      </c>
      <c r="B16" s="14">
        <f>B15*12</f>
        <v>471027.36</v>
      </c>
    </row>
    <row r="17" spans="1:2" x14ac:dyDescent="0.2">
      <c r="A17" s="3" t="s">
        <v>91</v>
      </c>
      <c r="B17" s="15">
        <f>B15/B12</f>
        <v>0.80062251158540565</v>
      </c>
    </row>
    <row r="19" spans="1:2" x14ac:dyDescent="0.2">
      <c r="A19" s="3" t="s">
        <v>143</v>
      </c>
    </row>
    <row r="20" spans="1:2" x14ac:dyDescent="0.2">
      <c r="A20" t="s">
        <v>144</v>
      </c>
      <c r="B20" s="6">
        <v>1</v>
      </c>
    </row>
    <row r="21" spans="1:2" x14ac:dyDescent="0.2">
      <c r="A21" t="s">
        <v>118</v>
      </c>
      <c r="B21" s="8">
        <f>Inputs!B41*Inputs!B39+Inputs!B42*Inputs!B40</f>
        <v>250000</v>
      </c>
    </row>
    <row r="22" spans="1:2" x14ac:dyDescent="0.2">
      <c r="A22" t="s">
        <v>145</v>
      </c>
      <c r="B22" s="8">
        <f>B21*(1-Inputs!B43)</f>
        <v>200000</v>
      </c>
    </row>
    <row r="23" spans="1:2" x14ac:dyDescent="0.2">
      <c r="A23" s="3" t="s">
        <v>146</v>
      </c>
      <c r="B23" s="14">
        <f>B20*B22</f>
        <v>200000</v>
      </c>
    </row>
    <row r="25" spans="1:2" x14ac:dyDescent="0.2">
      <c r="A25" s="3" t="s">
        <v>147</v>
      </c>
    </row>
    <row r="26" spans="1:2" x14ac:dyDescent="0.2">
      <c r="A26" t="s">
        <v>144</v>
      </c>
      <c r="B26" s="6">
        <v>2</v>
      </c>
    </row>
    <row r="27" spans="1:2" x14ac:dyDescent="0.2">
      <c r="A27" t="s">
        <v>118</v>
      </c>
      <c r="B27" s="8">
        <f>Inputs!B63+MAX(0,Inputs!B67-Inputs!B64)*Inputs!B66</f>
        <v>130000</v>
      </c>
    </row>
    <row r="28" spans="1:2" x14ac:dyDescent="0.2">
      <c r="A28" s="3" t="s">
        <v>148</v>
      </c>
      <c r="B28" s="14">
        <f>B26*B27</f>
        <v>260000</v>
      </c>
    </row>
    <row r="30" spans="1:2" x14ac:dyDescent="0.2">
      <c r="A30" s="3" t="s">
        <v>149</v>
      </c>
    </row>
    <row r="31" spans="1:2" x14ac:dyDescent="0.2">
      <c r="A31" t="s">
        <v>150</v>
      </c>
      <c r="B31" s="8">
        <f>B16</f>
        <v>471027.36</v>
      </c>
    </row>
    <row r="32" spans="1:2" x14ac:dyDescent="0.2">
      <c r="A32" t="s">
        <v>151</v>
      </c>
      <c r="B32" s="8">
        <f>B23</f>
        <v>200000</v>
      </c>
    </row>
    <row r="33" spans="1:2" x14ac:dyDescent="0.2">
      <c r="A33" t="s">
        <v>152</v>
      </c>
      <c r="B33" s="8">
        <f>B28</f>
        <v>260000</v>
      </c>
    </row>
    <row r="34" spans="1:2" x14ac:dyDescent="0.2">
      <c r="A34" s="3" t="s">
        <v>153</v>
      </c>
      <c r="B34" s="14">
        <f>B31+B23+B28</f>
        <v>931027.36</v>
      </c>
    </row>
  </sheetData>
  <mergeCells count="1">
    <mergeCell ref="A2:I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9"/>
  <sheetViews>
    <sheetView showGridLines="0" workbookViewId="0"/>
  </sheetViews>
  <sheetFormatPr baseColWidth="10" defaultColWidth="8.83203125" defaultRowHeight="15" x14ac:dyDescent="0.2"/>
  <cols>
    <col min="1" max="1" width="30" customWidth="1"/>
    <col min="2" max="2" width="18" customWidth="1"/>
  </cols>
  <sheetData>
    <row r="1" spans="1:2" ht="19" x14ac:dyDescent="0.25">
      <c r="A1" s="1" t="s">
        <v>154</v>
      </c>
    </row>
    <row r="2" spans="1:2" x14ac:dyDescent="0.2">
      <c r="A2" s="17" t="s">
        <v>155</v>
      </c>
      <c r="B2" s="18"/>
    </row>
    <row r="4" spans="1:2" x14ac:dyDescent="0.2">
      <c r="A4" t="s">
        <v>156</v>
      </c>
      <c r="B4" s="8">
        <f>'Scenario - $1M Net'!B16</f>
        <v>997966.10400000005</v>
      </c>
    </row>
    <row r="5" spans="1:2" x14ac:dyDescent="0.2">
      <c r="A5" t="s">
        <v>157</v>
      </c>
      <c r="B5" s="8" t="e">
        <f>On-[1]Prem!B14</f>
        <v>#NAME?</v>
      </c>
    </row>
    <row r="6" spans="1:2" x14ac:dyDescent="0.2">
      <c r="A6" t="s">
        <v>158</v>
      </c>
      <c r="B6" s="8">
        <f>'On-Prem - Per CPU-Mem'!B9</f>
        <v>0</v>
      </c>
    </row>
    <row r="7" spans="1:2" x14ac:dyDescent="0.2">
      <c r="A7" t="s">
        <v>159</v>
      </c>
      <c r="B7" s="8" t="e">
        <f>On-[1]Prem!B20</f>
        <v>#NAME?</v>
      </c>
    </row>
    <row r="8" spans="1:2" x14ac:dyDescent="0.2">
      <c r="A8" t="s">
        <v>160</v>
      </c>
      <c r="B8" s="8">
        <f>'Add-Ons'!B8</f>
        <v>0</v>
      </c>
    </row>
    <row r="9" spans="1:2" x14ac:dyDescent="0.2">
      <c r="A9" s="3" t="s">
        <v>153</v>
      </c>
      <c r="B9" s="14" t="e">
        <f>B4+B5+B6+B7+B8</f>
        <v>#NAME?</v>
      </c>
    </row>
  </sheetData>
  <mergeCells count="1">
    <mergeCell ref="A2: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Inputs</vt:lpstr>
      <vt:lpstr>Model</vt:lpstr>
      <vt:lpstr>Scenario - $1M Net</vt:lpstr>
      <vt:lpstr>On-Prem</vt:lpstr>
      <vt:lpstr>On-Prem - Server Class</vt:lpstr>
      <vt:lpstr>On-Prem - Per Transaction</vt:lpstr>
      <vt:lpstr>On-Prem - Per CPU-Mem</vt:lpstr>
      <vt:lpstr>Add-Ons</vt:lpstr>
      <vt:lpstr>Scenario - Mixed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Kenneth Stott</cp:lastModifiedBy>
  <dcterms:created xsi:type="dcterms:W3CDTF">2026-09-16T15:53:55Z</dcterms:created>
  <dcterms:modified xsi:type="dcterms:W3CDTF">2026-09-17T19:29:43Z</dcterms:modified>
</cp:coreProperties>
</file>