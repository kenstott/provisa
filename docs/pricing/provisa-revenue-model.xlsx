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Scenario - $1M Net" sheetId="3" state="visible" r:id="rId3"/>
    <sheet xmlns:r="http://schemas.openxmlformats.org/officeDocument/2006/relationships" name="On-Prem" sheetId="4" state="visible" r:id="rId4"/>
    <sheet xmlns:r="http://schemas.openxmlformats.org/officeDocument/2006/relationships" name="Add-Ons" sheetId="5" state="visible" r:id="rId5"/>
    <sheet xmlns:r="http://schemas.openxmlformats.org/officeDocument/2006/relationships" name="Scenario - Mixed" sheetId="6" state="visible" r:id="rId6"/>
    <sheet xmlns:r="http://schemas.openxmlformats.org/officeDocument/2006/relationships" name="Combin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0.0%"/>
    <numFmt numFmtId="167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164" fontId="0" fillId="3" borderId="1" pivotButton="0" quotePrefix="0" xfId="0"/>
    <xf numFmtId="1" fontId="0" fillId="3" borderId="1" pivotButton="0" quotePrefix="0" xfId="0"/>
    <xf numFmtId="165" fontId="0" fillId="3" borderId="1" pivotButton="0" quotePrefix="0" xfId="0"/>
    <xf numFmtId="165" fontId="0" fillId="0" borderId="1" pivotButton="0" quotePrefix="0" xfId="0"/>
    <xf numFmtId="166" fontId="0" fillId="3" borderId="1" pivotButton="0" quotePrefix="0" xfId="0"/>
    <xf numFmtId="1" fontId="0" fillId="0" borderId="1" pivotButton="0" quotePrefix="0" xfId="0"/>
    <xf numFmtId="167" fontId="0" fillId="0" borderId="1" pivotButton="0" quotePrefix="0" xfId="0"/>
    <xf numFmtId="1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Provisa Net-Revenue Model — Inputs (yellow = adjustable knob)</t>
        </is>
      </c>
    </row>
    <row r="2">
      <c r="A2" s="2" t="inlineStr">
        <is>
          <t>Rates are live Lemon Squeezy / GCP prices as of 2026-09-16 (from the internal pricing plan). Usage and customer counts are illustrative assumptions.</t>
        </is>
      </c>
    </row>
    <row r="4">
      <c r="A4" s="3" t="inlineStr">
        <is>
          <t>Rate card</t>
        </is>
      </c>
    </row>
    <row r="5">
      <c r="A5" s="4" t="inlineStr">
        <is>
          <t>Tier</t>
        </is>
      </c>
      <c r="B5" s="4" t="inlineStr">
        <is>
          <t>Base fee/mo</t>
        </is>
      </c>
      <c r="C5" s="4" t="inlineStr">
        <is>
          <t>Included active-hrs</t>
        </is>
      </c>
      <c r="D5" s="4" t="inlineStr">
        <is>
          <t>Overage $/hr</t>
        </is>
      </c>
      <c r="E5" s="4" t="inlineStr">
        <is>
          <t>Included GB</t>
        </is>
      </c>
      <c r="F5" s="4" t="inlineStr">
        <is>
          <t>Egress overage $/GB</t>
        </is>
      </c>
    </row>
    <row r="6">
      <c r="A6" t="inlineStr">
        <is>
          <t>Starter</t>
        </is>
      </c>
      <c r="B6" s="5" t="n">
        <v>25</v>
      </c>
      <c r="C6" s="6" t="n">
        <v>19</v>
      </c>
      <c r="D6" s="7" t="n">
        <v>1.3</v>
      </c>
      <c r="E6" s="6" t="n">
        <v>25</v>
      </c>
      <c r="F6" s="7" t="n">
        <v>0.48</v>
      </c>
    </row>
    <row r="7">
      <c r="A7" t="inlineStr">
        <is>
          <t>Pro S</t>
        </is>
      </c>
      <c r="B7" s="5" t="n">
        <v>99</v>
      </c>
      <c r="C7" s="6" t="n">
        <v>66</v>
      </c>
      <c r="D7" s="7" t="n">
        <v>1.5</v>
      </c>
      <c r="E7" s="6" t="n">
        <v>50</v>
      </c>
      <c r="F7" s="7" t="n">
        <v>0.48</v>
      </c>
    </row>
    <row r="8">
      <c r="A8" t="inlineStr">
        <is>
          <t>Pro M</t>
        </is>
      </c>
      <c r="B8" s="5" t="n">
        <v>199</v>
      </c>
      <c r="C8" s="6" t="n">
        <v>72</v>
      </c>
      <c r="D8" s="7" t="n">
        <v>2.75</v>
      </c>
      <c r="E8" s="6" t="n">
        <v>100</v>
      </c>
      <c r="F8" s="7" t="n">
        <v>0.48</v>
      </c>
    </row>
    <row r="9">
      <c r="A9" t="inlineStr">
        <is>
          <t>Pro L</t>
        </is>
      </c>
      <c r="B9" s="5" t="n">
        <v>399</v>
      </c>
      <c r="C9" s="6" t="n">
        <v>72</v>
      </c>
      <c r="D9" s="7" t="n">
        <v>5.5</v>
      </c>
      <c r="E9" s="6" t="n">
        <v>200</v>
      </c>
      <c r="F9" s="7" t="n">
        <v>0.48</v>
      </c>
    </row>
    <row r="11">
      <c r="A11" s="3" t="inlineStr">
        <is>
          <t>Usage &amp; customer mix</t>
        </is>
      </c>
    </row>
    <row r="12">
      <c r="A12" s="4" t="inlineStr">
        <is>
          <t>Tier</t>
        </is>
      </c>
      <c r="B12" s="4" t="inlineStr">
        <is>
          <t>Customers (count)</t>
        </is>
      </c>
      <c r="C12" s="4" t="inlineStr">
        <is>
          <t>Active-hrs used/mo</t>
        </is>
      </c>
      <c r="D12" s="4" t="inlineStr">
        <is>
          <t>Egress used/mo (GB)</t>
        </is>
      </c>
    </row>
    <row r="13">
      <c r="A13" t="inlineStr">
        <is>
          <t>Starter</t>
        </is>
      </c>
      <c r="B13" s="6" t="n">
        <v>30</v>
      </c>
      <c r="C13" s="6" t="n">
        <v>40</v>
      </c>
      <c r="D13" s="6" t="n">
        <v>15</v>
      </c>
    </row>
    <row r="14">
      <c r="A14" t="inlineStr">
        <is>
          <t>Pro S</t>
        </is>
      </c>
      <c r="B14" s="6" t="n">
        <v>12</v>
      </c>
      <c r="C14" s="6" t="n">
        <v>90</v>
      </c>
      <c r="D14" s="6" t="n">
        <v>60</v>
      </c>
    </row>
    <row r="15">
      <c r="A15" t="inlineStr">
        <is>
          <t>Pro M</t>
        </is>
      </c>
      <c r="B15" s="6" t="n">
        <v>5</v>
      </c>
      <c r="C15" s="6" t="n">
        <v>100</v>
      </c>
      <c r="D15" s="6" t="n">
        <v>130</v>
      </c>
    </row>
    <row r="16">
      <c r="A16" t="inlineStr">
        <is>
          <t>Pro L</t>
        </is>
      </c>
      <c r="B16" s="6" t="n">
        <v>3</v>
      </c>
      <c r="C16" s="6" t="n">
        <v>110</v>
      </c>
      <c r="D16" s="6" t="n">
        <v>250</v>
      </c>
    </row>
    <row r="18">
      <c r="A18" s="3" t="inlineStr">
        <is>
          <t>Compute cost basis</t>
        </is>
      </c>
    </row>
    <row r="19">
      <c r="A19" t="inlineStr">
        <is>
          <t>GKE Autopilot: $/vCPU-hr</t>
        </is>
      </c>
      <c r="B19" s="7" t="n">
        <v>0.0445</v>
      </c>
    </row>
    <row r="20">
      <c r="A20" t="inlineStr">
        <is>
          <t>GKE Autopilot: $/GiB-hr</t>
        </is>
      </c>
      <c r="B20" s="7" t="n">
        <v>0.0049</v>
      </c>
    </row>
    <row r="21">
      <c r="A21" t="inlineStr">
        <is>
          <t>Shared shard pod: vCPU</t>
        </is>
      </c>
      <c r="B21" s="6" t="n">
        <v>6</v>
      </c>
    </row>
    <row r="22">
      <c r="A22" t="inlineStr">
        <is>
          <t>Shared shard pod: GiB</t>
        </is>
      </c>
      <c r="B22" s="6" t="n">
        <v>24</v>
      </c>
    </row>
    <row r="23">
      <c r="A23" t="inlineStr">
        <is>
          <t>Assumed concurrent Starter orgs per shard-hour</t>
        </is>
      </c>
      <c r="B23" s="6" t="n">
        <v>4</v>
      </c>
      <c r="C23" s="2" t="inlineStr">
        <is>
          <t>&lt; biggest unverified lever in the model</t>
        </is>
      </c>
    </row>
    <row r="24">
      <c r="A24" t="inlineStr">
        <is>
          <t>Pro S compute: n2-highmem-4 $/hr (on-demand)</t>
        </is>
      </c>
      <c r="B24" s="7" t="n">
        <v>0.26</v>
      </c>
    </row>
    <row r="25">
      <c r="A25" t="inlineStr">
        <is>
          <t>Pro M compute: n2-highmem-8 $/hr (on-demand)</t>
        </is>
      </c>
      <c r="B25" s="7" t="n">
        <v>0.52</v>
      </c>
    </row>
    <row r="26">
      <c r="A26" t="inlineStr">
        <is>
          <t>Pro L compute: n2-highmem-16 $/hr (on-demand)</t>
        </is>
      </c>
      <c r="B26" s="7" t="n">
        <v>1.05</v>
      </c>
    </row>
    <row r="27">
      <c r="A27" t="inlineStr">
        <is>
          <t>Provisa's own egress cost $/GB (GCP-&gt;internet)</t>
        </is>
      </c>
      <c r="B27" s="7" t="n">
        <v>0.12</v>
      </c>
    </row>
    <row r="28">
      <c r="A28" t="inlineStr">
        <is>
          <t>Fixed floor $/mo (Cloud SQL db-f1-micro etc.)</t>
        </is>
      </c>
      <c r="B28" s="5" t="n">
        <v>9</v>
      </c>
    </row>
    <row r="30">
      <c r="A30" s="3" t="inlineStr">
        <is>
          <t>Derived: shared shard $/hr</t>
        </is>
      </c>
      <c r="B30" s="8">
        <f>B21*B19+B22*B20</f>
        <v/>
      </c>
    </row>
    <row r="31">
      <c r="A31" s="3" t="inlineStr">
        <is>
          <t>Derived: shared compute $/hr per Starter org</t>
        </is>
      </c>
      <c r="B31" s="8">
        <f>B30/B23</f>
        <v/>
      </c>
    </row>
    <row r="33">
      <c r="A33" s="3" t="inlineStr">
        <is>
          <t>On-prem licensing — flat per-core model (cluster-scoped key; see note)</t>
        </is>
      </c>
      <c r="C33" s="2" t="inlineStr">
        <is>
          <t>&lt; cluster-key sum-check holds only within one cluster's key exchange; cannot stop a copied key powering a separate cluster</t>
        </is>
      </c>
    </row>
    <row r="34">
      <c r="A34" t="inlineStr">
        <is>
          <t>Free-tier scope: cluster-core cap (self-attested, unenforced)</t>
        </is>
      </c>
      <c r="B34" s="6" t="n">
        <v>8</v>
      </c>
      <c r="C34" s="2" t="inlineStr">
        <is>
          <t>&lt; no runtime gate exists (library); this is a license-terms limit only — the lever is no support/SLA/updates, not a block</t>
        </is>
      </c>
    </row>
    <row r="35">
      <c r="A35" t="inlineStr">
        <is>
          <t>Free-tier scope: max company annual revenue (self-attested, unenforced)</t>
        </is>
      </c>
      <c r="B35" s="5" t="n">
        <v>1000000</v>
      </c>
      <c r="C35" s="2" t="inlineStr">
        <is>
          <t>&lt; both this and the core cap must hold — self-attested at signup, unenforced, audit-rights clause backs it</t>
        </is>
      </c>
    </row>
    <row r="36">
      <c r="A36" t="inlineStr">
        <is>
          <t>Free-tier on-prem installs (informational only, $0 rev)</t>
        </is>
      </c>
      <c r="B36" s="6" t="n">
        <v>0</v>
      </c>
    </row>
    <row r="37">
      <c r="A37" t="inlineStr">
        <is>
          <t>Support-only SKU: $/yr (24hr: defect confirm/feature clarify + resolution ETA)</t>
        </is>
      </c>
      <c r="B37" s="5" t="n">
        <v>10000</v>
      </c>
    </row>
    <row r="38">
      <c r="A38" t="inlineStr">
        <is>
          <t>Support-only SKU: delivery cost %</t>
        </is>
      </c>
      <c r="B38" s="9" t="n">
        <v>0.4</v>
      </c>
      <c r="C38" s="2" t="inlineStr">
        <is>
          <t>&lt; placeholder; labor-heavy relative to the $10K ticket</t>
        </is>
      </c>
    </row>
    <row r="39">
      <c r="A39" t="inlineStr">
        <is>
          <t>Support-only SKU: subscribers (count)</t>
        </is>
      </c>
      <c r="B39" s="6" t="n">
        <v>0</v>
      </c>
    </row>
    <row r="40">
      <c r="A40" t="inlineStr">
        <is>
          <t>Rate $/core/yr</t>
        </is>
      </c>
      <c r="B40" s="5" t="n">
        <v>3000</v>
      </c>
    </row>
    <row r="41">
      <c r="A41" t="inlineStr">
        <is>
          <t>GiB mem bundled per licensed core (informational, not billed)</t>
        </is>
      </c>
      <c r="B41" s="6" t="n">
        <v>4</v>
      </c>
    </row>
    <row r="42">
      <c r="A42" t="inlineStr">
        <is>
          <t>Delivery/support cost, % of license revenue</t>
        </is>
      </c>
      <c r="B42" s="9" t="n">
        <v>0.25</v>
      </c>
      <c r="C42" s="2" t="inlineStr">
        <is>
          <t>&lt; placeholder; raised from 20% per market-comp review (real fully-loaded cost, not just a floor)</t>
        </is>
      </c>
    </row>
    <row r="43">
      <c r="A43" t="inlineStr">
        <is>
          <t>Licensed cores (this deal, cluster total)</t>
        </is>
      </c>
      <c r="B43" s="6" t="n">
        <v>48</v>
      </c>
    </row>
    <row r="44">
      <c r="A44" t="inlineStr">
        <is>
          <t>On-prem deals (count)</t>
        </is>
      </c>
      <c r="B44" s="6" t="n">
        <v>0</v>
      </c>
    </row>
    <row r="46">
      <c r="A46" s="3" t="inlineStr">
        <is>
          <t>Add-on SKUs (placeholder rates)</t>
        </is>
      </c>
    </row>
    <row r="47">
      <c r="A47" t="inlineStr">
        <is>
          <t>Premium connector (Splunk/SharePoint/Files): $/yr</t>
        </is>
      </c>
      <c r="B47" s="5" t="n">
        <v>6000</v>
      </c>
    </row>
    <row r="48">
      <c r="A48" t="inlineStr">
        <is>
          <t>Premium connector: attach count (connector-orgs, not orgs)</t>
        </is>
      </c>
      <c r="B48" s="6" t="n">
        <v>0</v>
      </c>
    </row>
    <row r="49">
      <c r="A49" t="inlineStr">
        <is>
          <t>LLM validated-reasoning add-on: $/org/mo</t>
        </is>
      </c>
      <c r="B49" s="5" t="n">
        <v>400</v>
      </c>
    </row>
    <row r="50">
      <c r="A50" t="inlineStr">
        <is>
          <t>LLM validated-reasoning: attach count (orgs)</t>
        </is>
      </c>
      <c r="B50" s="6" t="n">
        <v>0</v>
      </c>
    </row>
    <row r="51">
      <c r="A51" t="inlineStr">
        <is>
          <t>Add-on delivery cost, % of add-on revenue</t>
        </is>
      </c>
      <c r="B51" s="9" t="n">
        <v>0.3</v>
      </c>
      <c r="C51" s="2" t="inlineStr">
        <is>
          <t>&lt; placeholder; LLM inference cost dominates here, unmodeled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Provisa Net-Revenue Projection — Model</t>
        </is>
      </c>
    </row>
    <row r="2">
      <c r="A2" s="2" t="inlineStr">
        <is>
          <t>Customer counts come from Inputs!B. Change a yellow cell on Inputs to see outcomes recompute here.</t>
        </is>
      </c>
    </row>
    <row r="4">
      <c r="A4" s="4" t="inlineStr">
        <is>
          <t>Tier</t>
        </is>
      </c>
      <c r="B4" s="4" t="inlineStr">
        <is>
          <t>Customers</t>
        </is>
      </c>
      <c r="C4" s="4" t="inlineStr">
        <is>
          <t>Overage hrs/org</t>
        </is>
      </c>
      <c r="D4" s="4" t="inlineStr">
        <is>
          <t>Overage GB/org</t>
        </is>
      </c>
      <c r="E4" s="4" t="inlineStr">
        <is>
          <t>Revenue/org</t>
        </is>
      </c>
      <c r="F4" s="4" t="inlineStr">
        <is>
          <t>Cost/org</t>
        </is>
      </c>
      <c r="G4" s="4" t="inlineStr">
        <is>
          <t>Margin/org</t>
        </is>
      </c>
      <c r="H4" s="4" t="inlineStr">
        <is>
          <t>Fleet revenue</t>
        </is>
      </c>
      <c r="I4" s="4" t="inlineStr">
        <is>
          <t>Fleet cost</t>
        </is>
      </c>
    </row>
    <row r="5">
      <c r="A5" t="inlineStr">
        <is>
          <t>Starter</t>
        </is>
      </c>
      <c r="B5" s="10">
        <f>Inputs!B13</f>
        <v/>
      </c>
      <c r="C5" s="11">
        <f>MAX(0,Inputs!C13-Inputs!C6)</f>
        <v/>
      </c>
      <c r="D5" s="11">
        <f>MAX(0,Inputs!D13-Inputs!E6)</f>
        <v/>
      </c>
      <c r="E5" s="8">
        <f>Inputs!B6+C5*Inputs!D6+D5*Inputs!F6</f>
        <v/>
      </c>
      <c r="F5" s="8">
        <f>Inputs!C13*Inputs!$B$31+Inputs!D13*Inputs!$B$27</f>
        <v/>
      </c>
      <c r="G5" s="8">
        <f>E5-F5</f>
        <v/>
      </c>
      <c r="H5" s="8">
        <f>B5*E5</f>
        <v/>
      </c>
      <c r="I5" s="8">
        <f>B5*F5</f>
        <v/>
      </c>
    </row>
    <row r="6">
      <c r="A6" t="inlineStr">
        <is>
          <t>Pro S</t>
        </is>
      </c>
      <c r="B6" s="10">
        <f>Inputs!B14</f>
        <v/>
      </c>
      <c r="C6" s="11">
        <f>MAX(0,Inputs!C14-Inputs!C7)</f>
        <v/>
      </c>
      <c r="D6" s="11">
        <f>MAX(0,Inputs!D14-Inputs!E7)</f>
        <v/>
      </c>
      <c r="E6" s="8">
        <f>Inputs!B7+C6*Inputs!D7+D6*Inputs!F7</f>
        <v/>
      </c>
      <c r="F6" s="8">
        <f>Inputs!C14*Inputs!$B$24+Inputs!D14*Inputs!$B$27</f>
        <v/>
      </c>
      <c r="G6" s="8">
        <f>E6-F6</f>
        <v/>
      </c>
      <c r="H6" s="8">
        <f>B6*E6</f>
        <v/>
      </c>
      <c r="I6" s="8">
        <f>B6*F6</f>
        <v/>
      </c>
    </row>
    <row r="7">
      <c r="A7" t="inlineStr">
        <is>
          <t>Pro M</t>
        </is>
      </c>
      <c r="B7" s="10">
        <f>Inputs!B15</f>
        <v/>
      </c>
      <c r="C7" s="11">
        <f>MAX(0,Inputs!C15-Inputs!C8)</f>
        <v/>
      </c>
      <c r="D7" s="11">
        <f>MAX(0,Inputs!D15-Inputs!E8)</f>
        <v/>
      </c>
      <c r="E7" s="8">
        <f>Inputs!B8+C7*Inputs!D8+D7*Inputs!F8</f>
        <v/>
      </c>
      <c r="F7" s="8">
        <f>Inputs!C15*Inputs!$B$25+Inputs!D15*Inputs!$B$27</f>
        <v/>
      </c>
      <c r="G7" s="8">
        <f>E7-F7</f>
        <v/>
      </c>
      <c r="H7" s="8">
        <f>B7*E7</f>
        <v/>
      </c>
      <c r="I7" s="8">
        <f>B7*F7</f>
        <v/>
      </c>
    </row>
    <row r="8">
      <c r="A8" t="inlineStr">
        <is>
          <t>Pro L</t>
        </is>
      </c>
      <c r="B8" s="10">
        <f>Inputs!B16</f>
        <v/>
      </c>
      <c r="C8" s="11">
        <f>MAX(0,Inputs!C16-Inputs!C9)</f>
        <v/>
      </c>
      <c r="D8" s="11">
        <f>MAX(0,Inputs!D16-Inputs!E9)</f>
        <v/>
      </c>
      <c r="E8" s="8">
        <f>Inputs!B9+C8*Inputs!D9+D8*Inputs!F9</f>
        <v/>
      </c>
      <c r="F8" s="8">
        <f>Inputs!C16*Inputs!$B$26+Inputs!D16*Inputs!$B$27</f>
        <v/>
      </c>
      <c r="G8" s="8">
        <f>E8-F8</f>
        <v/>
      </c>
      <c r="H8" s="8">
        <f>B8*E8</f>
        <v/>
      </c>
      <c r="I8" s="8">
        <f>B8*F8</f>
        <v/>
      </c>
    </row>
    <row r="9">
      <c r="A9" s="3" t="inlineStr">
        <is>
          <t>Fleet total</t>
        </is>
      </c>
      <c r="B9" s="12">
        <f>SUM(B5:B8)</f>
        <v/>
      </c>
      <c r="H9" s="13">
        <f>SUM(H5:H8)</f>
        <v/>
      </c>
      <c r="I9" s="13">
        <f>SUM(I5:I8)</f>
        <v/>
      </c>
    </row>
    <row r="11">
      <c r="A11" s="3" t="inlineStr">
        <is>
          <t>Summary</t>
        </is>
      </c>
    </row>
    <row r="12">
      <c r="A12" t="inlineStr">
        <is>
          <t>Total revenue</t>
        </is>
      </c>
      <c r="B12" s="8">
        <f>H9</f>
        <v/>
      </c>
    </row>
    <row r="13">
      <c r="A13" t="inlineStr">
        <is>
          <t>Total direct cost</t>
        </is>
      </c>
      <c r="B13" s="8">
        <f>I9</f>
        <v/>
      </c>
    </row>
    <row r="14">
      <c r="A14" t="inlineStr">
        <is>
          <t>Fixed floor</t>
        </is>
      </c>
      <c r="B14" s="8">
        <f>Inputs!B28</f>
        <v/>
      </c>
    </row>
    <row r="15">
      <c r="A15" s="3" t="inlineStr">
        <is>
          <t>Net (monthly)</t>
        </is>
      </c>
      <c r="B15" s="13">
        <f>B12-B13-B14</f>
        <v/>
      </c>
    </row>
    <row r="16">
      <c r="A16" s="3" t="inlineStr">
        <is>
          <t>Net (annualized)</t>
        </is>
      </c>
      <c r="B16" s="13">
        <f>B15*12</f>
        <v/>
      </c>
    </row>
    <row r="17">
      <c r="A17" s="3" t="inlineStr">
        <is>
          <t>Net margin %</t>
        </is>
      </c>
      <c r="B17" s="14">
        <f>B15/B12</f>
        <v/>
      </c>
    </row>
  </sheetData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Scenario: customer mix to clear $1M/yr net profit</t>
        </is>
      </c>
    </row>
    <row r="2">
      <c r="A2" s="2" t="inlineStr">
        <is>
          <t>Same rate card / per-org usage / compute cost as Inputs, but its own customer-count knobs (yellow, this sheet only) — the base mix scaled ~15.8x. Edit the yellow counts to explore other paths to $1M.</t>
        </is>
      </c>
    </row>
    <row r="4">
      <c r="A4" s="4" t="inlineStr">
        <is>
          <t>Tier</t>
        </is>
      </c>
      <c r="B4" s="4" t="inlineStr">
        <is>
          <t>Customers</t>
        </is>
      </c>
      <c r="C4" s="4" t="inlineStr">
        <is>
          <t>Overage hrs/org</t>
        </is>
      </c>
      <c r="D4" s="4" t="inlineStr">
        <is>
          <t>Overage GB/org</t>
        </is>
      </c>
      <c r="E4" s="4" t="inlineStr">
        <is>
          <t>Revenue/org</t>
        </is>
      </c>
      <c r="F4" s="4" t="inlineStr">
        <is>
          <t>Cost/org</t>
        </is>
      </c>
      <c r="G4" s="4" t="inlineStr">
        <is>
          <t>Margin/org</t>
        </is>
      </c>
      <c r="H4" s="4" t="inlineStr">
        <is>
          <t>Fleet revenue</t>
        </is>
      </c>
      <c r="I4" s="4" t="inlineStr">
        <is>
          <t>Fleet cost</t>
        </is>
      </c>
    </row>
    <row r="5">
      <c r="A5" t="inlineStr">
        <is>
          <t>Starter</t>
        </is>
      </c>
      <c r="B5" s="6" t="n">
        <v>473</v>
      </c>
      <c r="C5" s="11">
        <f>MAX(0,Inputs!C13-Inputs!C6)</f>
        <v/>
      </c>
      <c r="D5" s="11">
        <f>MAX(0,Inputs!D13-Inputs!E6)</f>
        <v/>
      </c>
      <c r="E5" s="8">
        <f>Inputs!B6+C5*Inputs!D6+D5*Inputs!F6</f>
        <v/>
      </c>
      <c r="F5" s="8">
        <f>Inputs!C13*Inputs!$B$31+Inputs!D13*Inputs!$B$27</f>
        <v/>
      </c>
      <c r="G5" s="8">
        <f>E5-F5</f>
        <v/>
      </c>
      <c r="H5" s="8">
        <f>B5*E5</f>
        <v/>
      </c>
      <c r="I5" s="8">
        <f>B5*F5</f>
        <v/>
      </c>
    </row>
    <row r="6">
      <c r="A6" t="inlineStr">
        <is>
          <t>Pro S</t>
        </is>
      </c>
      <c r="B6" s="6" t="n">
        <v>189</v>
      </c>
      <c r="C6" s="11">
        <f>MAX(0,Inputs!C14-Inputs!C7)</f>
        <v/>
      </c>
      <c r="D6" s="11">
        <f>MAX(0,Inputs!D14-Inputs!E7)</f>
        <v/>
      </c>
      <c r="E6" s="8">
        <f>Inputs!B7+C6*Inputs!D7+D6*Inputs!F7</f>
        <v/>
      </c>
      <c r="F6" s="8">
        <f>Inputs!C14*Inputs!$B$24+Inputs!D14*Inputs!$B$27</f>
        <v/>
      </c>
      <c r="G6" s="8">
        <f>E6-F6</f>
        <v/>
      </c>
      <c r="H6" s="8">
        <f>B6*E6</f>
        <v/>
      </c>
      <c r="I6" s="8">
        <f>B6*F6</f>
        <v/>
      </c>
    </row>
    <row r="7">
      <c r="A7" t="inlineStr">
        <is>
          <t>Pro M</t>
        </is>
      </c>
      <c r="B7" s="6" t="n">
        <v>79</v>
      </c>
      <c r="C7" s="11">
        <f>MAX(0,Inputs!C15-Inputs!C8)</f>
        <v/>
      </c>
      <c r="D7" s="11">
        <f>MAX(0,Inputs!D15-Inputs!E8)</f>
        <v/>
      </c>
      <c r="E7" s="8">
        <f>Inputs!B8+C7*Inputs!D8+D7*Inputs!F8</f>
        <v/>
      </c>
      <c r="F7" s="8">
        <f>Inputs!C15*Inputs!$B$25+Inputs!D15*Inputs!$B$27</f>
        <v/>
      </c>
      <c r="G7" s="8">
        <f>E7-F7</f>
        <v/>
      </c>
      <c r="H7" s="8">
        <f>B7*E7</f>
        <v/>
      </c>
      <c r="I7" s="8">
        <f>B7*F7</f>
        <v/>
      </c>
    </row>
    <row r="8">
      <c r="A8" t="inlineStr">
        <is>
          <t>Pro L</t>
        </is>
      </c>
      <c r="B8" s="6" t="n">
        <v>47</v>
      </c>
      <c r="C8" s="11">
        <f>MAX(0,Inputs!C16-Inputs!C9)</f>
        <v/>
      </c>
      <c r="D8" s="11">
        <f>MAX(0,Inputs!D16-Inputs!E9)</f>
        <v/>
      </c>
      <c r="E8" s="8">
        <f>Inputs!B9+C8*Inputs!D9+D8*Inputs!F9</f>
        <v/>
      </c>
      <c r="F8" s="8">
        <f>Inputs!C16*Inputs!$B$26+Inputs!D16*Inputs!$B$27</f>
        <v/>
      </c>
      <c r="G8" s="8">
        <f>E8-F8</f>
        <v/>
      </c>
      <c r="H8" s="8">
        <f>B8*E8</f>
        <v/>
      </c>
      <c r="I8" s="8">
        <f>B8*F8</f>
        <v/>
      </c>
    </row>
    <row r="9">
      <c r="A9" s="3" t="inlineStr">
        <is>
          <t>Fleet total</t>
        </is>
      </c>
      <c r="B9" s="12">
        <f>SUM(B5:B8)</f>
        <v/>
      </c>
      <c r="H9" s="13">
        <f>SUM(H5:H8)</f>
        <v/>
      </c>
      <c r="I9" s="13">
        <f>SUM(I5:I8)</f>
        <v/>
      </c>
    </row>
    <row r="11">
      <c r="A11" s="3" t="inlineStr">
        <is>
          <t>Summary</t>
        </is>
      </c>
    </row>
    <row r="12">
      <c r="A12" t="inlineStr">
        <is>
          <t>Total revenue</t>
        </is>
      </c>
      <c r="B12" s="8">
        <f>H9</f>
        <v/>
      </c>
    </row>
    <row r="13">
      <c r="A13" t="inlineStr">
        <is>
          <t>Total direct cost</t>
        </is>
      </c>
      <c r="B13" s="8">
        <f>I9</f>
        <v/>
      </c>
    </row>
    <row r="14">
      <c r="A14" t="inlineStr">
        <is>
          <t>Fixed floor</t>
        </is>
      </c>
      <c r="B14" s="8">
        <f>Inputs!B28</f>
        <v/>
      </c>
    </row>
    <row r="15">
      <c r="A15" s="3" t="inlineStr">
        <is>
          <t>Net (monthly)</t>
        </is>
      </c>
      <c r="B15" s="13">
        <f>B12-B13-B14</f>
        <v/>
      </c>
    </row>
    <row r="16">
      <c r="A16" s="3" t="inlineStr">
        <is>
          <t>Net (annualized)</t>
        </is>
      </c>
      <c r="B16" s="13">
        <f>B15*12</f>
        <v/>
      </c>
    </row>
    <row r="17">
      <c r="A17" s="3" t="inlineStr">
        <is>
          <t>Net margin %</t>
        </is>
      </c>
      <c r="B17" s="14">
        <f>B15/B12</f>
        <v/>
      </c>
    </row>
  </sheetData>
  <mergeCells count="1"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On-Prem Licensing — Revenue Model</t>
        </is>
      </c>
    </row>
    <row r="2">
      <c r="A2" s="2" t="inlineStr">
        <is>
          <t>Single per-core model, no coordinator/worker or hardware-class distinction — a core is a core. Cluster-scoped license key (see Inputs note) — real within a cluster's key exchange, honor-system across separate clusters.</t>
        </is>
      </c>
    </row>
    <row r="4">
      <c r="A4" s="3" t="inlineStr">
        <is>
          <t>License revenue per deal</t>
        </is>
      </c>
    </row>
    <row r="5">
      <c r="A5" t="inlineStr">
        <is>
          <t>Bundled GiB mem (informational, not billed)</t>
        </is>
      </c>
      <c r="B5" s="10">
        <f>Inputs!B43*Inputs!B41</f>
        <v/>
      </c>
    </row>
    <row r="6">
      <c r="A6" s="3" t="inlineStr">
        <is>
          <t>Total license revenue/deal</t>
        </is>
      </c>
      <c r="B6" s="8">
        <f>Inputs!B43*Inputs!B40</f>
        <v/>
      </c>
    </row>
    <row r="7">
      <c r="A7" t="inlineStr">
        <is>
          <t>Delivery/support cost/deal</t>
        </is>
      </c>
      <c r="B7" s="8">
        <f>B6*Inputs!B42</f>
        <v/>
      </c>
    </row>
    <row r="8">
      <c r="A8" s="3" t="inlineStr">
        <is>
          <t>Margin/deal</t>
        </is>
      </c>
      <c r="B8" s="13">
        <f>B6-B7</f>
        <v/>
      </c>
    </row>
    <row r="10">
      <c r="A10" t="inlineStr">
        <is>
          <t>Deal count (from Inputs)</t>
        </is>
      </c>
      <c r="B10" s="10">
        <f>Inputs!B44</f>
        <v/>
      </c>
    </row>
    <row r="11">
      <c r="A11" s="3" t="inlineStr">
        <is>
          <t>Total revenue/yr</t>
        </is>
      </c>
      <c r="B11" s="8">
        <f>B10*B6</f>
        <v/>
      </c>
    </row>
    <row r="12">
      <c r="A12" s="3" t="inlineStr">
        <is>
          <t>Total cost/yr</t>
        </is>
      </c>
      <c r="B12" s="8">
        <f>B10*B7</f>
        <v/>
      </c>
    </row>
    <row r="13">
      <c r="A13" s="3" t="inlineStr">
        <is>
          <t>Net on-prem/yr</t>
        </is>
      </c>
      <c r="B13" s="13">
        <f>B11-B12</f>
        <v/>
      </c>
    </row>
    <row r="15">
      <c r="A15" s="3" t="inlineStr">
        <is>
          <t>Support-only SKU (free-tier upsell)</t>
        </is>
      </c>
    </row>
    <row r="16">
      <c r="A16" t="inlineStr">
        <is>
          <t>Subscribers (from Inputs)</t>
        </is>
      </c>
      <c r="B16" s="10">
        <f>Inputs!B39</f>
        <v/>
      </c>
    </row>
    <row r="17">
      <c r="A17" t="inlineStr">
        <is>
          <t>Revenue/yr</t>
        </is>
      </c>
      <c r="B17" s="8">
        <f>B16*Inputs!B37</f>
        <v/>
      </c>
    </row>
    <row r="18">
      <c r="A18" t="inlineStr">
        <is>
          <t>Cost/yr</t>
        </is>
      </c>
      <c r="B18" s="8">
        <f>B17*Inputs!B38</f>
        <v/>
      </c>
    </row>
    <row r="19">
      <c r="A19" s="3" t="inlineStr">
        <is>
          <t>Net/yr</t>
        </is>
      </c>
      <c r="B19" s="13">
        <f>B17-B18</f>
        <v/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Add-On SKUs — Premium Connectors + LLM Reasoning</t>
        </is>
      </c>
    </row>
    <row r="2">
      <c r="A2" s="2" t="inlineStr">
        <is>
          <t>Sold on top of either SaaS or on-prem. Rates are placeholders — no comparable-vendor research done on these yet.</t>
        </is>
      </c>
    </row>
    <row r="4">
      <c r="A4" t="inlineStr">
        <is>
          <t>Premium connectors: revenue/yr</t>
        </is>
      </c>
      <c r="B4" s="8">
        <f>Inputs!B48*Inputs!B47</f>
        <v/>
      </c>
    </row>
    <row r="5">
      <c r="A5" t="inlineStr">
        <is>
          <t>LLM validated-reasoning: revenue/yr</t>
        </is>
      </c>
      <c r="B5" s="8">
        <f>Inputs!B50*Inputs!B49*12</f>
        <v/>
      </c>
    </row>
    <row r="6">
      <c r="A6" s="3" t="inlineStr">
        <is>
          <t>Total add-on revenue/yr</t>
        </is>
      </c>
      <c r="B6" s="13">
        <f>B4+B5</f>
        <v/>
      </c>
    </row>
    <row r="7">
      <c r="A7" t="inlineStr">
        <is>
          <t>Delivery cost/yr</t>
        </is>
      </c>
      <c r="B7" s="8">
        <f>B6*Inputs!B51</f>
        <v/>
      </c>
    </row>
    <row r="8">
      <c r="A8" s="3" t="inlineStr">
        <is>
          <t>Net add-on/yr</t>
        </is>
      </c>
      <c r="B8" s="13">
        <f>B6-B7</f>
        <v/>
      </c>
    </row>
  </sheetData>
  <mergeCells count="1">
    <mergeCell ref="A2:B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Scenario: mixed SaaS + on-prem path to ~$1M net</t>
        </is>
      </c>
    </row>
    <row r="2">
      <c r="A2" s="2" t="inlineStr">
        <is>
          <t>SaaS counts below are this sheet's own knobs (half the pure-SaaS $1M mix). On-prem deals further down are also this sheet's own knobs, priced from the same single per-core rate on Inputs.</t>
        </is>
      </c>
    </row>
    <row r="4">
      <c r="A4" s="4" t="inlineStr">
        <is>
          <t>Tier</t>
        </is>
      </c>
      <c r="B4" s="4" t="inlineStr">
        <is>
          <t>Customers</t>
        </is>
      </c>
      <c r="C4" s="4" t="inlineStr">
        <is>
          <t>Overage hrs/org</t>
        </is>
      </c>
      <c r="D4" s="4" t="inlineStr">
        <is>
          <t>Overage GB/org</t>
        </is>
      </c>
      <c r="E4" s="4" t="inlineStr">
        <is>
          <t>Revenue/org</t>
        </is>
      </c>
      <c r="F4" s="4" t="inlineStr">
        <is>
          <t>Cost/org</t>
        </is>
      </c>
      <c r="G4" s="4" t="inlineStr">
        <is>
          <t>Margin/org</t>
        </is>
      </c>
      <c r="H4" s="4" t="inlineStr">
        <is>
          <t>Fleet revenue</t>
        </is>
      </c>
      <c r="I4" s="4" t="inlineStr">
        <is>
          <t>Fleet cost</t>
        </is>
      </c>
    </row>
    <row r="5">
      <c r="A5" t="inlineStr">
        <is>
          <t>Starter</t>
        </is>
      </c>
      <c r="B5" s="6" t="n">
        <v>220</v>
      </c>
      <c r="C5" s="11">
        <f>MAX(0,Inputs!C13-Inputs!C6)</f>
        <v/>
      </c>
      <c r="D5" s="11">
        <f>MAX(0,Inputs!D13-Inputs!E6)</f>
        <v/>
      </c>
      <c r="E5" s="8">
        <f>Inputs!B6+C5*Inputs!D6+D5*Inputs!F6</f>
        <v/>
      </c>
      <c r="F5" s="8">
        <f>Inputs!C13*Inputs!$B$31+Inputs!D13*Inputs!$B$27</f>
        <v/>
      </c>
      <c r="G5" s="8">
        <f>E5-F5</f>
        <v/>
      </c>
      <c r="H5" s="8">
        <f>B5*E5</f>
        <v/>
      </c>
      <c r="I5" s="8">
        <f>B5*F5</f>
        <v/>
      </c>
    </row>
    <row r="6">
      <c r="A6" t="inlineStr">
        <is>
          <t>Pro S</t>
        </is>
      </c>
      <c r="B6" s="6" t="n">
        <v>90</v>
      </c>
      <c r="C6" s="11">
        <f>MAX(0,Inputs!C14-Inputs!C7)</f>
        <v/>
      </c>
      <c r="D6" s="11">
        <f>MAX(0,Inputs!D14-Inputs!E7)</f>
        <v/>
      </c>
      <c r="E6" s="8">
        <f>Inputs!B7+C6*Inputs!D7+D6*Inputs!F7</f>
        <v/>
      </c>
      <c r="F6" s="8">
        <f>Inputs!C14*Inputs!$B$24+Inputs!D14*Inputs!$B$27</f>
        <v/>
      </c>
      <c r="G6" s="8">
        <f>E6-F6</f>
        <v/>
      </c>
      <c r="H6" s="8">
        <f>B6*E6</f>
        <v/>
      </c>
      <c r="I6" s="8">
        <f>B6*F6</f>
        <v/>
      </c>
    </row>
    <row r="7">
      <c r="A7" t="inlineStr">
        <is>
          <t>Pro M</t>
        </is>
      </c>
      <c r="B7" s="6" t="n">
        <v>38</v>
      </c>
      <c r="C7" s="11">
        <f>MAX(0,Inputs!C15-Inputs!C8)</f>
        <v/>
      </c>
      <c r="D7" s="11">
        <f>MAX(0,Inputs!D15-Inputs!E8)</f>
        <v/>
      </c>
      <c r="E7" s="8">
        <f>Inputs!B8+C7*Inputs!D8+D7*Inputs!F8</f>
        <v/>
      </c>
      <c r="F7" s="8">
        <f>Inputs!C15*Inputs!$B$25+Inputs!D15*Inputs!$B$27</f>
        <v/>
      </c>
      <c r="G7" s="8">
        <f>E7-F7</f>
        <v/>
      </c>
      <c r="H7" s="8">
        <f>B7*E7</f>
        <v/>
      </c>
      <c r="I7" s="8">
        <f>B7*F7</f>
        <v/>
      </c>
    </row>
    <row r="8">
      <c r="A8" t="inlineStr">
        <is>
          <t>Pro L</t>
        </is>
      </c>
      <c r="B8" s="6" t="n">
        <v>22</v>
      </c>
      <c r="C8" s="11">
        <f>MAX(0,Inputs!C16-Inputs!C9)</f>
        <v/>
      </c>
      <c r="D8" s="11">
        <f>MAX(0,Inputs!D16-Inputs!E9)</f>
        <v/>
      </c>
      <c r="E8" s="8">
        <f>Inputs!B9+C8*Inputs!D9+D8*Inputs!F9</f>
        <v/>
      </c>
      <c r="F8" s="8">
        <f>Inputs!C16*Inputs!$B$26+Inputs!D16*Inputs!$B$27</f>
        <v/>
      </c>
      <c r="G8" s="8">
        <f>E8-F8</f>
        <v/>
      </c>
      <c r="H8" s="8">
        <f>B8*E8</f>
        <v/>
      </c>
      <c r="I8" s="8">
        <f>B8*F8</f>
        <v/>
      </c>
    </row>
    <row r="9">
      <c r="A9" s="3" t="inlineStr">
        <is>
          <t>Fleet total</t>
        </is>
      </c>
      <c r="B9" s="12">
        <f>SUM(B5:B8)</f>
        <v/>
      </c>
      <c r="H9" s="13">
        <f>SUM(H5:H8)</f>
        <v/>
      </c>
      <c r="I9" s="13">
        <f>SUM(I5:I8)</f>
        <v/>
      </c>
    </row>
    <row r="11">
      <c r="A11" s="3" t="inlineStr">
        <is>
          <t>Summary</t>
        </is>
      </c>
    </row>
    <row r="12">
      <c r="A12" t="inlineStr">
        <is>
          <t>Total revenue</t>
        </is>
      </c>
      <c r="B12" s="8">
        <f>H9</f>
        <v/>
      </c>
    </row>
    <row r="13">
      <c r="A13" t="inlineStr">
        <is>
          <t>Total direct cost</t>
        </is>
      </c>
      <c r="B13" s="8">
        <f>I9</f>
        <v/>
      </c>
    </row>
    <row r="14">
      <c r="A14" t="inlineStr">
        <is>
          <t>Fixed floor</t>
        </is>
      </c>
      <c r="B14" s="8">
        <f>Inputs!B28</f>
        <v/>
      </c>
    </row>
    <row r="15">
      <c r="A15" s="3" t="inlineStr">
        <is>
          <t>Net (monthly)</t>
        </is>
      </c>
      <c r="B15" s="13">
        <f>B12-B13-B14</f>
        <v/>
      </c>
    </row>
    <row r="16">
      <c r="A16" s="3" t="inlineStr">
        <is>
          <t>Net (annualized)</t>
        </is>
      </c>
      <c r="B16" s="13">
        <f>B15*12</f>
        <v/>
      </c>
    </row>
    <row r="17">
      <c r="A17" s="3" t="inlineStr">
        <is>
          <t>Net margin %</t>
        </is>
      </c>
      <c r="B17" s="14">
        <f>B15/B12</f>
        <v/>
      </c>
    </row>
    <row r="19">
      <c r="A19" s="3" t="inlineStr">
        <is>
          <t>On-prem (per-core)</t>
        </is>
      </c>
    </row>
    <row r="20">
      <c r="A20" t="inlineStr">
        <is>
          <t>Deals (this scenario)</t>
        </is>
      </c>
      <c r="B20" s="6" t="n">
        <v>3</v>
      </c>
    </row>
    <row r="21">
      <c r="A21" t="inlineStr">
        <is>
          <t>Revenue/deal</t>
        </is>
      </c>
      <c r="B21" s="8">
        <f>Inputs!B43*Inputs!B40</f>
        <v/>
      </c>
    </row>
    <row r="22">
      <c r="A22" t="inlineStr">
        <is>
          <t>Margin/deal (after support %)</t>
        </is>
      </c>
      <c r="B22" s="8">
        <f>B21*(1-Inputs!B42)</f>
        <v/>
      </c>
    </row>
    <row r="23">
      <c r="A23" s="3" t="inlineStr">
        <is>
          <t>On-prem: net/yr</t>
        </is>
      </c>
      <c r="B23" s="13">
        <f>B20*B22</f>
        <v/>
      </c>
    </row>
    <row r="25">
      <c r="A25" s="3" t="inlineStr">
        <is>
          <t>Combined summary</t>
        </is>
      </c>
    </row>
    <row r="26">
      <c r="A26" t="inlineStr">
        <is>
          <t>SaaS net/yr</t>
        </is>
      </c>
      <c r="B26" s="8">
        <f>B16</f>
        <v/>
      </c>
    </row>
    <row r="27">
      <c r="A27" t="inlineStr">
        <is>
          <t>On-prem net/yr</t>
        </is>
      </c>
      <c r="B27" s="8">
        <f>B23</f>
        <v/>
      </c>
    </row>
    <row r="28">
      <c r="A28" s="3" t="inlineStr">
        <is>
          <t>Combined net/yr</t>
        </is>
      </c>
      <c r="B28" s="13">
        <f>B26+B23</f>
        <v/>
      </c>
    </row>
  </sheetData>
  <mergeCells count="1"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Combined Net — SaaS ($1M scenario sheet) + On-Prem</t>
        </is>
      </c>
    </row>
    <row r="2">
      <c r="A2" s="2" t="inlineStr">
        <is>
          <t>Turn on-prem deal counts up on Inputs to see how licensing reduces the SaaS org count needed.</t>
        </is>
      </c>
    </row>
    <row r="4">
      <c r="A4" t="inlineStr">
        <is>
          <t>SaaS net/yr (Scenario - $1M Net sheet)</t>
        </is>
      </c>
      <c r="B4" s="8">
        <f>'Scenario - $1M Net'!B16</f>
        <v/>
      </c>
    </row>
    <row r="5">
      <c r="A5" t="inlineStr">
        <is>
          <t>On-prem net/yr</t>
        </is>
      </c>
      <c r="B5" s="8">
        <f>On-Prem!B13</f>
        <v/>
      </c>
    </row>
    <row r="6">
      <c r="A6" t="inlineStr">
        <is>
          <t>Support-only SKU net/yr (free-tier upsell)</t>
        </is>
      </c>
      <c r="B6" s="8">
        <f>On-Prem!B19</f>
        <v/>
      </c>
    </row>
    <row r="7">
      <c r="A7" t="inlineStr">
        <is>
          <t>Add-on SKUs net/yr (connectors + LLM reasoning)</t>
        </is>
      </c>
      <c r="B7" s="8">
        <f>'Add-Ons'!B8</f>
        <v/>
      </c>
    </row>
    <row r="8">
      <c r="A8" s="3" t="inlineStr">
        <is>
          <t>Combined net/yr</t>
        </is>
      </c>
      <c r="B8" s="13">
        <f>B4+B5+B6+B7</f>
        <v/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2026-10-19T19:31:49Z</dcterms:created>
  <dcterms:modified xmlns:dcterms="http://purl.org/dc/terms/" xmlns:xsi="http://www.w3.org/2001/XMLSchema-instance" xsi:type="dcterms:W3CDTF">2026-10-19T19:31:49Z</dcterms:modified>
</cp:coreProperties>
</file>